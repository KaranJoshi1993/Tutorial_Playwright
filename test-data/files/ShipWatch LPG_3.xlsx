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Watch Departure Berth" sheetId="1" r:id="rId4"/>
    <sheet state="hidden" name="Validation" sheetId="2" r:id="rId5"/>
    <sheet state="visible" name="Table" sheetId="3" r:id="rId6"/>
  </sheets>
  <definedNames/>
  <calcPr/>
</workbook>
</file>

<file path=xl/sharedStrings.xml><?xml version="1.0" encoding="utf-8"?>
<sst xmlns="http://schemas.openxmlformats.org/spreadsheetml/2006/main" count="320" uniqueCount="304">
  <si>
    <t>Departure Berth Report</t>
  </si>
  <si>
    <t>Vessel IMO:</t>
  </si>
  <si>
    <t>9489118</t>
  </si>
  <si>
    <t>Vessel Name:</t>
  </si>
  <si>
    <t>Navig8 Constellation</t>
  </si>
  <si>
    <t>Officers:</t>
  </si>
  <si>
    <t>Master</t>
  </si>
  <si>
    <t>CAPT. PAUL JAMES LLAMAS</t>
  </si>
  <si>
    <t>Chief Engineer</t>
  </si>
  <si>
    <t>ALBERTO DY</t>
  </si>
  <si>
    <t>Date and Time:</t>
  </si>
  <si>
    <t>Date (dd/mm/yyyy)</t>
  </si>
  <si>
    <t>Local Time (hh:mm)</t>
  </si>
  <si>
    <t>UTC Offset (±hh:mm)</t>
  </si>
  <si>
    <t>+01:00</t>
  </si>
  <si>
    <t>UTC Date/Time</t>
  </si>
  <si>
    <t>Position:</t>
  </si>
  <si>
    <t>Latitude</t>
  </si>
  <si>
    <t>'</t>
  </si>
  <si>
    <t>"</t>
  </si>
  <si>
    <t>S</t>
  </si>
  <si>
    <t xml:space="preserve">Longitude </t>
  </si>
  <si>
    <t>E</t>
  </si>
  <si>
    <t>Current Port:</t>
  </si>
  <si>
    <t>LAKONIKOS GULF, GREECE</t>
  </si>
  <si>
    <t>ETD:</t>
  </si>
  <si>
    <t>ETD UTC Date/Time</t>
  </si>
  <si>
    <t>On Berth Hours:</t>
  </si>
  <si>
    <t>Hours</t>
  </si>
  <si>
    <t>Maneuvering Hours:</t>
  </si>
  <si>
    <t>Vessel Condition (BL/LD):</t>
  </si>
  <si>
    <t>Ballast</t>
  </si>
  <si>
    <t>Hours Since Last Report:</t>
  </si>
  <si>
    <t>Draft Fore (m):</t>
  </si>
  <si>
    <t>m</t>
  </si>
  <si>
    <t>Observed Distance (nm):</t>
  </si>
  <si>
    <t>NM</t>
  </si>
  <si>
    <t>Draft Aft (m):</t>
  </si>
  <si>
    <t>ME Running Hours (Counter)</t>
  </si>
  <si>
    <t>RPM (Counter)</t>
  </si>
  <si>
    <t>RPM</t>
  </si>
  <si>
    <t>Total Cargo On Board m3:</t>
  </si>
  <si>
    <t>m3</t>
  </si>
  <si>
    <t>Total Cargo On Board:</t>
  </si>
  <si>
    <t>MT</t>
  </si>
  <si>
    <t>Total Cargo Loaded/Discharged:</t>
  </si>
  <si>
    <t>Loaded</t>
  </si>
  <si>
    <t>Discharged</t>
  </si>
  <si>
    <t>General Remarks:</t>
  </si>
  <si>
    <t>Testing@123</t>
  </si>
  <si>
    <t>Engine Hours</t>
  </si>
  <si>
    <t>ME</t>
  </si>
  <si>
    <t>AE</t>
  </si>
  <si>
    <t>Shaft Generator</t>
  </si>
  <si>
    <t>Running Hours</t>
  </si>
  <si>
    <t>Power (kW)</t>
  </si>
  <si>
    <t>Bunkers</t>
  </si>
  <si>
    <t>HEAVY IFO 3.5%</t>
  </si>
  <si>
    <t>HEAVY LFO 0.5%</t>
  </si>
  <si>
    <t>MGO 0.5%</t>
  </si>
  <si>
    <t>LGO 0.1%</t>
  </si>
  <si>
    <t>LIGHT IFO 3.5%</t>
  </si>
  <si>
    <t>LIGHT LFO 0.5%</t>
  </si>
  <si>
    <t>RME - RMK (&gt; 80 cSt)</t>
  </si>
  <si>
    <t>RMA - RMD (&lt; 80 cSt)</t>
  </si>
  <si>
    <t>Bunkers Supplied</t>
  </si>
  <si>
    <t>Bunker Survey/De-Bunkering</t>
  </si>
  <si>
    <t>ROB</t>
  </si>
  <si>
    <t>Consumptions</t>
  </si>
  <si>
    <t>Main Engine:</t>
  </si>
  <si>
    <t>Main Engine Total:</t>
  </si>
  <si>
    <t>Standard A/E:</t>
  </si>
  <si>
    <t>Cargo Cooling A/E:</t>
  </si>
  <si>
    <t>Cargo Loading A/E:</t>
  </si>
  <si>
    <t>Cargo Discharging A/E:</t>
  </si>
  <si>
    <t>Ballast Water A/E:</t>
  </si>
  <si>
    <t>Other A/E:</t>
  </si>
  <si>
    <t>A/E Total:</t>
  </si>
  <si>
    <t>Standard Boiler:</t>
  </si>
  <si>
    <t>Cargo Cooling Boiler:</t>
  </si>
  <si>
    <t>Cargo Loading Boiler:</t>
  </si>
  <si>
    <t>Cargo Discharging Boiler:</t>
  </si>
  <si>
    <t>Ballast Water Boiler:</t>
  </si>
  <si>
    <t>Other Boiler:</t>
  </si>
  <si>
    <t>Boiler Total:</t>
  </si>
  <si>
    <t>Totals:</t>
  </si>
  <si>
    <t>Operation Hours</t>
  </si>
  <si>
    <t>Cargo Cooling Hours</t>
  </si>
  <si>
    <t>Cargo Loading Hours</t>
  </si>
  <si>
    <t xml:space="preserve"> </t>
  </si>
  <si>
    <t>Cargo Cooling kWh</t>
  </si>
  <si>
    <t>Cargo Discharging Hours</t>
  </si>
  <si>
    <t>Remarks for Other Cons:</t>
  </si>
  <si>
    <t>Testing@12345</t>
  </si>
  <si>
    <t>UTC Offset</t>
  </si>
  <si>
    <t>-12:00</t>
  </si>
  <si>
    <t>-11:00</t>
  </si>
  <si>
    <t>-10:00</t>
  </si>
  <si>
    <t>-09:30</t>
  </si>
  <si>
    <t>-09:00</t>
  </si>
  <si>
    <t>-08:00</t>
  </si>
  <si>
    <t>-07:00</t>
  </si>
  <si>
    <t>-06:00</t>
  </si>
  <si>
    <t>-05:00</t>
  </si>
  <si>
    <t>-04:00</t>
  </si>
  <si>
    <t>-03:30</t>
  </si>
  <si>
    <t>-03:00</t>
  </si>
  <si>
    <t>-02:00</t>
  </si>
  <si>
    <t>-01:00</t>
  </si>
  <si>
    <t>00:00</t>
  </si>
  <si>
    <t>+02:00</t>
  </si>
  <si>
    <t>+03:00</t>
  </si>
  <si>
    <t>+03:30</t>
  </si>
  <si>
    <t>+04:00</t>
  </si>
  <si>
    <t>+04:30</t>
  </si>
  <si>
    <t>+05:00</t>
  </si>
  <si>
    <t>+05:30</t>
  </si>
  <si>
    <t>+06:00</t>
  </si>
  <si>
    <t>+06:30</t>
  </si>
  <si>
    <t>+07:00</t>
  </si>
  <si>
    <t>+08:00</t>
  </si>
  <si>
    <t>+09:00</t>
  </si>
  <si>
    <t>+09:30</t>
  </si>
  <si>
    <t>+10:00</t>
  </si>
  <si>
    <t>+10:30</t>
  </si>
  <si>
    <t>+11:00</t>
  </si>
  <si>
    <t>+12:00</t>
  </si>
  <si>
    <t>+12:45</t>
  </si>
  <si>
    <t>+13:00</t>
  </si>
  <si>
    <t>+14:00</t>
  </si>
  <si>
    <t>Version</t>
  </si>
  <si>
    <t>CargoDischargingAE_IFO</t>
  </si>
  <si>
    <t>CargoDischargingAE_LFO</t>
  </si>
  <si>
    <t>CargoDischargingAE_MGO</t>
  </si>
  <si>
    <t>CargoDischargingAE_LGO</t>
  </si>
  <si>
    <t>CargoDischargingBoiler_IFO</t>
  </si>
  <si>
    <t>CargoDischargingBoiler_LFO</t>
  </si>
  <si>
    <t>CargoDischargingBoiler_MGO</t>
  </si>
  <si>
    <t>CargoDischargingBoiler_LGO</t>
  </si>
  <si>
    <t>CargoLoadingAE_IFO</t>
  </si>
  <si>
    <t>CargoLoadingAE_LFO</t>
  </si>
  <si>
    <t>CargoLoadingAE_MGO</t>
  </si>
  <si>
    <t>CargoLoadingAE_LGO</t>
  </si>
  <si>
    <t>CargoLoadingBoiler_IFO</t>
  </si>
  <si>
    <t>CargoLoadingBoiler_LFO</t>
  </si>
  <si>
    <t>CargoLoadingBoiler_MGO</t>
  </si>
  <si>
    <t>CargoLoadingBoiler_LGO</t>
  </si>
  <si>
    <t>RemarksforOtherCons</t>
  </si>
  <si>
    <t>AETotalConsumption_LFO</t>
  </si>
  <si>
    <t>BallastWaterAE_LFO</t>
  </si>
  <si>
    <t>BallastWaterBoiler_LFO</t>
  </si>
  <si>
    <t>BoilerTotalConsumption_LFO</t>
  </si>
  <si>
    <t>CargoCoolingAE_LFO</t>
  </si>
  <si>
    <t>CargoCoolingBoiler_LFO</t>
  </si>
  <si>
    <t>MainEngine_LFO</t>
  </si>
  <si>
    <t>MainEngineTotal_LFO</t>
  </si>
  <si>
    <t>OthrAE_LFO</t>
  </si>
  <si>
    <t>OthrBoiler_LFO</t>
  </si>
  <si>
    <t>ROB_LFO</t>
  </si>
  <si>
    <t>StandardAE_LFO</t>
  </si>
  <si>
    <t>StandardBoiler_LFO</t>
  </si>
  <si>
    <t>TotalConsumption_LFO</t>
  </si>
  <si>
    <t>AETotalConsumption_IFO</t>
  </si>
  <si>
    <t>BallastWaterAE_IFO</t>
  </si>
  <si>
    <t>BallastWaterBoiler_IFO</t>
  </si>
  <si>
    <t>BoilerTotalConsumption_IFO</t>
  </si>
  <si>
    <t>CargoCoolingAE_IFO</t>
  </si>
  <si>
    <t>CargoCoolingBoiler_IFO</t>
  </si>
  <si>
    <t>MainEngine_IFO</t>
  </si>
  <si>
    <t>MainEngineTotal_IFO</t>
  </si>
  <si>
    <t>OtherAE_IFO</t>
  </si>
  <si>
    <t>OtherBoiler_IFO</t>
  </si>
  <si>
    <t>ROB_IFO</t>
  </si>
  <si>
    <t>StandardAE_IFO</t>
  </si>
  <si>
    <t>StandardBoiler_IFO</t>
  </si>
  <si>
    <t>TotalConsumption_IFO</t>
  </si>
  <si>
    <t>AETotalConsumption_MGO</t>
  </si>
  <si>
    <t>BallastWaterAE_MGO</t>
  </si>
  <si>
    <t>BallastWaterBoiler_MGO</t>
  </si>
  <si>
    <t>BoilerTotalConsumption_MGO</t>
  </si>
  <si>
    <t>CargoCoolingAE_MGO</t>
  </si>
  <si>
    <t>CargoCoolingBoiler_MGO</t>
  </si>
  <si>
    <t>MainEngine_MGO</t>
  </si>
  <si>
    <t>MainEngineTotal_MGO</t>
  </si>
  <si>
    <t>OtherAE_MGO</t>
  </si>
  <si>
    <t>OtherBoiler_MGO</t>
  </si>
  <si>
    <t>ROB_MGO</t>
  </si>
  <si>
    <t>StandardAE_MGO</t>
  </si>
  <si>
    <t>StandardBoiler_MGO</t>
  </si>
  <si>
    <t>TotalConsumption_MGO</t>
  </si>
  <si>
    <t>AETotalConsumption_LGO</t>
  </si>
  <si>
    <t>BallastWaterAE_LGO</t>
  </si>
  <si>
    <t>BallastWaterBoiler_LGO</t>
  </si>
  <si>
    <t>BoilerTotalConsumption_LGO</t>
  </si>
  <si>
    <t>CargoCoolingAE_LGO</t>
  </si>
  <si>
    <t>CargoCoolingBoiler_LGO</t>
  </si>
  <si>
    <t>MainEngine_LGO</t>
  </si>
  <si>
    <t>MainEngineTotal_LGO</t>
  </si>
  <si>
    <t>OtherAE_LGO</t>
  </si>
  <si>
    <t>OtherBoiler_LGO</t>
  </si>
  <si>
    <t>ROB_LGO</t>
  </si>
  <si>
    <t>StandardAE_LGO</t>
  </si>
  <si>
    <t>StandardBoiler_LGO</t>
  </si>
  <si>
    <t>TotalConsumption_LGO</t>
  </si>
  <si>
    <t>BunkersSuppliedIFO</t>
  </si>
  <si>
    <t>BunkersSuppliedLFO</t>
  </si>
  <si>
    <t>BunkersSuppliedMGO</t>
  </si>
  <si>
    <t>BunkersSuppliedLGO</t>
  </si>
  <si>
    <t>BunkersSuppliedLIFO</t>
  </si>
  <si>
    <t>BunkersSuppliedLLFO</t>
  </si>
  <si>
    <t>BunkerSurveyDeBunkeringIFO</t>
  </si>
  <si>
    <t>BunkerSurveyDeBunkeringLFO</t>
  </si>
  <si>
    <t>BunkerSurveyDeBunkeringMGO</t>
  </si>
  <si>
    <t>BunkerSurveyDeBunkeringLGO</t>
  </si>
  <si>
    <t>BunkerSurveyDeBunkeringLIFO</t>
  </si>
  <si>
    <t>BunkerSurveyDeBunkeringLLFO</t>
  </si>
  <si>
    <t>DraftAftm</t>
  </si>
  <si>
    <t>DraftForem</t>
  </si>
  <si>
    <t>GeneralRemarks</t>
  </si>
  <si>
    <t>HoursSinceLastReport</t>
  </si>
  <si>
    <t>ObservedDistancenm</t>
  </si>
  <si>
    <t>MEPowerkW</t>
  </si>
  <si>
    <t>MERunningHours</t>
  </si>
  <si>
    <t>AE1RunningHours</t>
  </si>
  <si>
    <t>AE1PowerKW</t>
  </si>
  <si>
    <t>AE2RunningHours</t>
  </si>
  <si>
    <t>AE2PowerKW</t>
  </si>
  <si>
    <t>AE3RunningHours</t>
  </si>
  <si>
    <t>AE3PowerKW</t>
  </si>
  <si>
    <t>AE4RunningHours</t>
  </si>
  <si>
    <t>AE4PowerKW</t>
  </si>
  <si>
    <t>ShaftGeneratorPower</t>
  </si>
  <si>
    <t>ShaftGeneratorRunningHours</t>
  </si>
  <si>
    <t>VesselConditionBallastLaden</t>
  </si>
  <si>
    <t>LatitudeDeg</t>
  </si>
  <si>
    <t>LatitudeMin</t>
  </si>
  <si>
    <t>LatitudeSec</t>
  </si>
  <si>
    <t>LatitudeDir</t>
  </si>
  <si>
    <t>LongitudeDeg</t>
  </si>
  <si>
    <t>LongitudeMin</t>
  </si>
  <si>
    <t>LongitudeSec</t>
  </si>
  <si>
    <t>LongitudeDir</t>
  </si>
  <si>
    <t>RPMCounter</t>
  </si>
  <si>
    <t>MERunningHoursCounter</t>
  </si>
  <si>
    <t>CargoCoolingHours</t>
  </si>
  <si>
    <t>LoadHours</t>
  </si>
  <si>
    <t>DischargeHours</t>
  </si>
  <si>
    <t>TotalCargoOnBoard</t>
  </si>
  <si>
    <t>CargoLoaded</t>
  </si>
  <si>
    <t>CargoDischarged</t>
  </si>
  <si>
    <t>ChiefEngineer</t>
  </si>
  <si>
    <t>UTCOffset</t>
  </si>
  <si>
    <t>VesselIMO</t>
  </si>
  <si>
    <t>VesselName</t>
  </si>
  <si>
    <t>ReportType</t>
  </si>
  <si>
    <t>CurrentPort</t>
  </si>
  <si>
    <t>ETDUTCOffset</t>
  </si>
  <si>
    <t>ManeuveringHours</t>
  </si>
  <si>
    <t>OnBerthHours</t>
  </si>
  <si>
    <t>Date</t>
  </si>
  <si>
    <t>Time</t>
  </si>
  <si>
    <t>UTCTimestamp</t>
  </si>
  <si>
    <t>ETDUTCTimestamp</t>
  </si>
  <si>
    <t>ETDDate</t>
  </si>
  <si>
    <t>ETDTime</t>
  </si>
  <si>
    <t>AETotalConsumption_LIFO</t>
  </si>
  <si>
    <t>BallastWaterAE_LIFO</t>
  </si>
  <si>
    <t>BallastWaterBoiler_LIFO</t>
  </si>
  <si>
    <t>BoilerTotalConsumption_LIFO</t>
  </si>
  <si>
    <t>CargoCoolingAE_LIFO</t>
  </si>
  <si>
    <t>CargoCoolingBoiler_LIFO</t>
  </si>
  <si>
    <t>MainEngine_LIFO</t>
  </si>
  <si>
    <t>MainEngineTotal_LIFO</t>
  </si>
  <si>
    <t>OtherAE_LIFO</t>
  </si>
  <si>
    <t>OtherBoiler_LIFO</t>
  </si>
  <si>
    <t>CargoDischargingAE_LIFO</t>
  </si>
  <si>
    <t>CargoDischargingBoiler_LIFO</t>
  </si>
  <si>
    <t>CargoLoadingAE_LIFO</t>
  </si>
  <si>
    <t>CargoLoadingBoiler_LIFO</t>
  </si>
  <si>
    <t>ROB_LIFO</t>
  </si>
  <si>
    <t>StandardAE_LIFO</t>
  </si>
  <si>
    <t>StandardBoiler_LIFO</t>
  </si>
  <si>
    <t>TotalConsumption_LIFO</t>
  </si>
  <si>
    <t>AETotalConsumption_LLFO</t>
  </si>
  <si>
    <t>BallastWaterAE_LLFO</t>
  </si>
  <si>
    <t>BallastWaterBoiler_LLFO</t>
  </si>
  <si>
    <t>BoilerTotalConsumption_LLFO</t>
  </si>
  <si>
    <t>CargoCoolingAE_LLFO</t>
  </si>
  <si>
    <t>CargoCoolingBoiler_LLFO</t>
  </si>
  <si>
    <t>MainEngine_LLFO</t>
  </si>
  <si>
    <t>MainEngineTotal_LLFO</t>
  </si>
  <si>
    <t>OtherAE_LLFO</t>
  </si>
  <si>
    <t>OtherBoiler_LLFO</t>
  </si>
  <si>
    <t>CargoDischargingAE_LLFO</t>
  </si>
  <si>
    <t>CargoDischargingBoiler_LLFO</t>
  </si>
  <si>
    <t>CargoLoadingAE_LLFO</t>
  </si>
  <si>
    <t>CargoLoadingBoiler_LLFO</t>
  </si>
  <si>
    <t>ROB_LLFO</t>
  </si>
  <si>
    <t>StandardAE_LLFO</t>
  </si>
  <si>
    <t>StandardBoiler_LLFO</t>
  </si>
  <si>
    <t>TotalConsumption_LLFO</t>
  </si>
  <si>
    <t>CargoCoolingEnergykWh</t>
  </si>
  <si>
    <t>TotalCargoOnBoardM3</t>
  </si>
  <si>
    <t>LPG/DepartureBerth/V3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</si>
</sst>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##&quot;º&quot;"/>
    <numFmt numFmtId="166" formatCode="#,##0.0"/>
    <numFmt numFmtId="167" formatCode="0.0"/>
    <numFmt numFmtId="168" formatCode="_-* #,##0.00_-;\-* #,##0.00_-;_-* &quot;-&quot;??_-;_-@"/>
    <numFmt numFmtId="169" formatCode="[$-F400]h:mm:ss\ AM/PM"/>
    <numFmt numFmtId="170" formatCode="dd/mm/yyyy\ hh:mm:ss"/>
  </numFmts>
  <fonts count="13">
    <font>
      <sz val="11.0"/>
      <color theme="1"/>
      <name val="Calibri"/>
      <scheme val="minor"/>
    </font>
    <font>
      <sz val="10.0"/>
      <color theme="1"/>
      <name val="'source sans pro'"/>
    </font>
    <font>
      <b/>
      <sz val="10.0"/>
      <color theme="1"/>
      <name val="'source sans pro'"/>
    </font>
    <font>
      <sz val="11.0"/>
      <color theme="1"/>
      <name val="'source sans pro'"/>
    </font>
    <font>
      <b/>
      <sz val="11.0"/>
      <color theme="1"/>
      <name val="'source sans pro'"/>
    </font>
    <font>
      <b/>
      <sz val="16.0"/>
      <color theme="1"/>
      <name val="'source sans pro'"/>
    </font>
    <font>
      <sz val="10.0"/>
      <color theme="1"/>
      <name val="Arial"/>
    </font>
    <font/>
    <font>
      <b/>
      <u/>
      <sz val="12.0"/>
      <color theme="1"/>
      <name val="'source sans pro'"/>
    </font>
    <font>
      <sz val="11.0"/>
      <color theme="1"/>
      <name val="Calibri"/>
    </font>
    <font>
      <color theme="1"/>
      <name val="Calibri"/>
    </font>
    <font>
      <sz val="11.0"/>
      <color rgb="FF9C5700"/>
      <name val="Calibri"/>
    </font>
    <font>
      <sz val="11.0"/>
      <color rgb="FF0061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B905"/>
        <bgColor rgb="FFFFB905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right style="medium">
        <color rgb="FF000000"/>
      </right>
      <top/>
      <bottom/>
    </border>
    <border>
      <left/>
      <right/>
      <top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medium">
        <color rgb="FF000000"/>
      </left>
      <top/>
      <bottom/>
    </border>
    <border>
      <left/>
      <right style="medium">
        <color rgb="FF000000"/>
      </right>
      <top/>
    </border>
    <border>
      <left/>
      <right style="medium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1" fillId="2" fontId="5" numFmtId="0" xfId="0" applyAlignment="1" applyBorder="1" applyFont="1">
      <alignment vertical="center"/>
    </xf>
    <xf borderId="2" fillId="3" fontId="6" numFmtId="49" xfId="0" applyAlignment="1" applyBorder="1" applyFill="1" applyFont="1" applyNumberForma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2" fontId="1" numFmtId="0" xfId="0" applyAlignment="1" applyBorder="1" applyFont="1">
      <alignment horizontal="right" vertical="center"/>
    </xf>
    <xf borderId="2" fillId="3" fontId="1" numFmtId="49" xfId="0" applyAlignment="1" applyBorder="1" applyFont="1" applyNumberFormat="1">
      <alignment horizontal="center" vertical="center"/>
    </xf>
    <xf borderId="2" fillId="3" fontId="6" numFmtId="14" xfId="0" applyAlignment="1" applyBorder="1" applyFont="1" applyNumberFormat="1">
      <alignment horizontal="center" readingOrder="0" vertical="center"/>
    </xf>
    <xf borderId="2" fillId="3" fontId="6" numFmtId="20" xfId="0" applyAlignment="1" applyBorder="1" applyFont="1" applyNumberFormat="1">
      <alignment horizontal="center" readingOrder="0" vertical="center"/>
    </xf>
    <xf borderId="2" fillId="3" fontId="1" numFmtId="20" xfId="0" applyAlignment="1" applyBorder="1" applyFont="1" applyNumberFormat="1">
      <alignment horizontal="center" vertical="center"/>
    </xf>
    <xf borderId="2" fillId="4" fontId="6" numFmtId="164" xfId="0" applyAlignment="1" applyBorder="1" applyFill="1" applyFont="1" applyNumberFormat="1">
      <alignment horizontal="center" readingOrder="0" vertical="center"/>
    </xf>
    <xf borderId="5" fillId="3" fontId="6" numFmtId="3" xfId="0" applyAlignment="1" applyBorder="1" applyFont="1" applyNumberFormat="1">
      <alignment vertical="center"/>
    </xf>
    <xf borderId="1" fillId="2" fontId="1" numFmtId="165" xfId="0" applyAlignment="1" applyBorder="1" applyFont="1" applyNumberFormat="1">
      <alignment horizontal="left" vertical="center"/>
    </xf>
    <xf borderId="2" fillId="3" fontId="6" numFmtId="3" xfId="0" applyAlignment="1" applyBorder="1" applyFont="1" applyNumberFormat="1">
      <alignment horizontal="center" vertical="center"/>
    </xf>
    <xf quotePrefix="1" borderId="1" fillId="2" fontId="1" numFmtId="166" xfId="0" applyAlignment="1" applyBorder="1" applyFont="1" applyNumberFormat="1">
      <alignment vertical="center"/>
    </xf>
    <xf quotePrefix="1" borderId="1" fillId="2" fontId="3" numFmtId="0" xfId="0" applyBorder="1" applyFont="1"/>
    <xf borderId="5" fillId="3" fontId="6" numFmtId="166" xfId="0" applyAlignment="1" applyBorder="1" applyFont="1" applyNumberFormat="1">
      <alignment vertical="center"/>
    </xf>
    <xf quotePrefix="1" borderId="1" fillId="2" fontId="1" numFmtId="0" xfId="0" applyAlignment="1" applyBorder="1" applyFont="1">
      <alignment horizontal="right" vertical="center"/>
    </xf>
    <xf borderId="5" fillId="3" fontId="6" numFmtId="1" xfId="0" applyAlignment="1" applyBorder="1" applyFont="1" applyNumberFormat="1">
      <alignment vertical="center"/>
    </xf>
    <xf quotePrefix="1" borderId="1" fillId="2" fontId="1" numFmtId="0" xfId="0" applyAlignment="1" applyBorder="1" applyFont="1">
      <alignment vertical="center"/>
    </xf>
    <xf borderId="5" fillId="3" fontId="1" numFmtId="166" xfId="0" applyAlignment="1" applyBorder="1" applyFont="1" applyNumberFormat="1">
      <alignment vertical="center"/>
    </xf>
    <xf borderId="1" fillId="2" fontId="3" numFmtId="0" xfId="0" applyBorder="1" applyFont="1"/>
    <xf borderId="0" fillId="0" fontId="3" numFmtId="0" xfId="0" applyFont="1"/>
    <xf borderId="5" fillId="3" fontId="6" numFmtId="49" xfId="0" applyAlignment="1" applyBorder="1" applyFont="1" applyNumberFormat="1">
      <alignment vertical="center"/>
    </xf>
    <xf borderId="2" fillId="3" fontId="1" numFmtId="14" xfId="0" applyAlignment="1" applyBorder="1" applyFont="1" applyNumberFormat="1">
      <alignment horizontal="center" vertical="center"/>
    </xf>
    <xf borderId="2" fillId="4" fontId="1" numFmtId="22" xfId="0" applyAlignment="1" applyBorder="1" applyFont="1" applyNumberFormat="1">
      <alignment horizontal="center" vertical="center"/>
    </xf>
    <xf borderId="5" fillId="3" fontId="1" numFmtId="0" xfId="0" applyAlignment="1" applyBorder="1" applyFont="1">
      <alignment horizontal="center" vertical="center"/>
    </xf>
    <xf borderId="5" fillId="4" fontId="1" numFmtId="166" xfId="0" applyAlignment="1" applyBorder="1" applyFont="1" applyNumberFormat="1">
      <alignment horizontal="center" vertical="center"/>
    </xf>
    <xf borderId="5" fillId="3" fontId="1" numFmtId="167" xfId="0" applyAlignment="1" applyBorder="1" applyFont="1" applyNumberFormat="1">
      <alignment vertical="center"/>
    </xf>
    <xf borderId="5" fillId="3" fontId="1" numFmtId="168" xfId="0" applyAlignment="1" applyBorder="1" applyFont="1" applyNumberFormat="1">
      <alignment vertical="center"/>
    </xf>
    <xf borderId="1" fillId="2" fontId="1" numFmtId="0" xfId="0" applyBorder="1" applyFont="1"/>
    <xf borderId="5" fillId="3" fontId="6" numFmtId="166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right" vertical="center"/>
    </xf>
    <xf borderId="7" fillId="0" fontId="7" numFmtId="0" xfId="0" applyBorder="1" applyFont="1"/>
    <xf borderId="5" fillId="3" fontId="1" numFmtId="166" xfId="0" applyAlignment="1" applyBorder="1" applyFont="1" applyNumberFormat="1">
      <alignment horizontal="right" vertical="center"/>
    </xf>
    <xf borderId="8" fillId="2" fontId="2" numFmtId="0" xfId="0" applyAlignment="1" applyBorder="1" applyFont="1">
      <alignment horizontal="left" vertical="center"/>
    </xf>
    <xf borderId="9" fillId="3" fontId="6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" fillId="2" fontId="8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6" fillId="2" fontId="2" numFmtId="0" xfId="0" applyAlignment="1" applyBorder="1" applyFont="1">
      <alignment horizontal="center" vertical="center"/>
    </xf>
    <xf borderId="18" fillId="0" fontId="7" numFmtId="0" xfId="0" applyBorder="1" applyFont="1"/>
    <xf borderId="5" fillId="3" fontId="1" numFmtId="3" xfId="0" applyAlignment="1" applyBorder="1" applyFont="1" applyNumberFormat="1">
      <alignment vertical="center"/>
    </xf>
    <xf borderId="1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20" fillId="0" fontId="7" numFmtId="0" xfId="0" applyBorder="1" applyFont="1"/>
    <xf borderId="5" fillId="3" fontId="6" numFmtId="167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vertical="center"/>
    </xf>
    <xf borderId="2" fillId="3" fontId="6" numFmtId="167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horizontal="center" vertical="center"/>
    </xf>
    <xf borderId="5" fillId="3" fontId="1" numFmtId="167" xfId="0" applyAlignment="1" applyBorder="1" applyFont="1" applyNumberFormat="1">
      <alignment horizontal="center" vertical="center"/>
    </xf>
    <xf borderId="1" fillId="2" fontId="2" numFmtId="167" xfId="0" applyAlignment="1" applyBorder="1" applyFont="1" applyNumberFormat="1">
      <alignment vertical="center"/>
    </xf>
    <xf borderId="1" fillId="2" fontId="1" numFmtId="167" xfId="0" applyAlignment="1" applyBorder="1" applyFont="1" applyNumberFormat="1">
      <alignment horizontal="center" vertical="center"/>
    </xf>
    <xf borderId="1" fillId="2" fontId="6" numFmtId="167" xfId="0" applyAlignment="1" applyBorder="1" applyFont="1" applyNumberFormat="1">
      <alignment horizontal="center" vertical="center"/>
    </xf>
    <xf borderId="5" fillId="4" fontId="1" numFmtId="167" xfId="0" applyAlignment="1" applyBorder="1" applyFont="1" applyNumberFormat="1">
      <alignment horizontal="center" vertical="center"/>
    </xf>
    <xf borderId="2" fillId="4" fontId="1" numFmtId="167" xfId="0" applyAlignment="1" applyBorder="1" applyFont="1" applyNumberFormat="1">
      <alignment horizontal="center" vertical="center"/>
    </xf>
    <xf borderId="21" fillId="2" fontId="2" numFmtId="0" xfId="0" applyAlignment="1" applyBorder="1" applyFont="1">
      <alignment horizontal="left" vertical="center"/>
    </xf>
    <xf borderId="2" fillId="3" fontId="1" numFmtId="167" xfId="0" applyAlignment="1" applyBorder="1" applyFont="1" applyNumberFormat="1">
      <alignment horizontal="center" vertical="center"/>
    </xf>
    <xf borderId="22" fillId="2" fontId="2" numFmtId="0" xfId="0" applyAlignment="1" applyBorder="1" applyFont="1">
      <alignment horizontal="left" vertical="center"/>
    </xf>
    <xf borderId="23" fillId="0" fontId="7" numFmtId="0" xfId="0" applyBorder="1" applyFont="1"/>
    <xf borderId="1" fillId="2" fontId="9" numFmtId="0" xfId="0" applyBorder="1" applyFont="1"/>
    <xf borderId="0" fillId="0" fontId="2" numFmtId="0" xfId="0" applyAlignment="1" applyFont="1">
      <alignment vertical="center"/>
    </xf>
    <xf borderId="0" fillId="0" fontId="10" numFmtId="0" xfId="0" applyFont="1"/>
    <xf borderId="0" fillId="0" fontId="9" numFmtId="49" xfId="0" applyFont="1" applyNumberFormat="1"/>
    <xf quotePrefix="1" borderId="0" fillId="0" fontId="9" numFmtId="49" xfId="0" applyFont="1" applyNumberFormat="1"/>
    <xf borderId="0" fillId="5" fontId="10" numFmtId="0" xfId="0" applyFill="1" applyFont="1"/>
    <xf borderId="1" fillId="5" fontId="11" numFmtId="0" xfId="0" applyBorder="1" applyFont="1"/>
    <xf borderId="1" fillId="5" fontId="12" numFmtId="0" xfId="0" applyBorder="1" applyFont="1"/>
    <xf borderId="0" fillId="6" fontId="10" numFmtId="0" xfId="0" applyFill="1" applyFont="1"/>
    <xf borderId="0" fillId="6" fontId="10" numFmtId="167" xfId="0" applyFont="1" applyNumberFormat="1"/>
    <xf borderId="0" fillId="6" fontId="10" numFmtId="166" xfId="0" applyFont="1" applyNumberFormat="1"/>
    <xf borderId="0" fillId="6" fontId="10" numFmtId="3" xfId="0" applyFont="1" applyNumberFormat="1"/>
    <xf borderId="0" fillId="6" fontId="10" numFmtId="1" xfId="0" applyFont="1" applyNumberFormat="1"/>
    <xf borderId="0" fillId="6" fontId="10" numFmtId="168" xfId="0" applyFont="1" applyNumberFormat="1"/>
    <xf borderId="0" fillId="6" fontId="10" numFmtId="49" xfId="0" applyFont="1" applyNumberFormat="1"/>
    <xf borderId="0" fillId="6" fontId="10" numFmtId="20" xfId="0" applyFont="1" applyNumberFormat="1"/>
    <xf borderId="0" fillId="6" fontId="9" numFmtId="14" xfId="0" applyFont="1" applyNumberFormat="1"/>
    <xf borderId="0" fillId="6" fontId="9" numFmtId="169" xfId="0" applyFont="1" applyNumberFormat="1"/>
    <xf borderId="0" fillId="6" fontId="9" numFmtId="170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CDF09A"/>
          <bgColor rgb="FFCDF09A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B0BEF7"/>
          <bgColor rgb="FFB0BEF7"/>
        </patternFill>
      </fill>
      <border/>
    </dxf>
  </dxfs>
  <tableStyles count="2">
    <tableStyle count="3" pivot="0" name="Validation-style">
      <tableStyleElement dxfId="1" type="headerRow"/>
      <tableStyleElement dxfId="2" type="firstRowStripe"/>
      <tableStyleElement dxfId="3" type="secondRowStripe"/>
    </tableStyle>
    <tableStyle count="3" pivot="0" name="Table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</xdr:row>
      <xdr:rowOff>28575</xdr:rowOff>
    </xdr:from>
    <xdr:ext cx="2724150" cy="419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B37" displayName="Table_1" name="Table_1" id="1">
  <tableColumns count="1">
    <tableColumn name="UTC Offset" id="1"/>
  </tableColumns>
  <tableStyleInfo name="Validation-style" showColumnStripes="0" showFirstColumn="1" showLastColumn="1" showRowStripes="1"/>
</table>
</file>

<file path=xl/tables/table2.xml><?xml version="1.0" encoding="utf-8"?>
<table xmlns="http://schemas.openxmlformats.org/spreadsheetml/2006/main" ref="A1:FR2" displayName="Table_2" name="Table_2" id="2">
  <tableColumns count="174">
    <tableColumn name="Version" id="1"/>
    <tableColumn name="CargoDischargingAE_IFO" id="2"/>
    <tableColumn name="CargoDischargingAE_LFO" id="3"/>
    <tableColumn name="CargoDischargingAE_MGO" id="4"/>
    <tableColumn name="CargoDischargingAE_LGO" id="5"/>
    <tableColumn name="CargoDischargingBoiler_IFO" id="6"/>
    <tableColumn name="CargoDischargingBoiler_LFO" id="7"/>
    <tableColumn name="CargoDischargingBoiler_MGO" id="8"/>
    <tableColumn name="CargoDischargingBoiler_LGO" id="9"/>
    <tableColumn name="CargoLoadingAE_IFO" id="10"/>
    <tableColumn name="CargoLoadingAE_LFO" id="11"/>
    <tableColumn name="CargoLoadingAE_MGO" id="12"/>
    <tableColumn name="CargoLoadingAE_LGO" id="13"/>
    <tableColumn name="CargoLoadingBoiler_IFO" id="14"/>
    <tableColumn name="CargoLoadingBoiler_LFO" id="15"/>
    <tableColumn name="CargoLoadingBoiler_MGO" id="16"/>
    <tableColumn name="CargoLoadingBoiler_LGO" id="17"/>
    <tableColumn name="RemarksforOtherCons" id="18"/>
    <tableColumn name="AETotalConsumption_LFO" id="19"/>
    <tableColumn name="BallastWaterAE_LFO" id="20"/>
    <tableColumn name="BallastWaterBoiler_LFO" id="21"/>
    <tableColumn name="BoilerTotalConsumption_LFO" id="22"/>
    <tableColumn name="CargoCoolingAE_LFO" id="23"/>
    <tableColumn name="CargoCoolingBoiler_LFO" id="24"/>
    <tableColumn name="MainEngine_LFO" id="25"/>
    <tableColumn name="MainEngineTotal_LFO" id="26"/>
    <tableColumn name="OthrAE_LFO" id="27"/>
    <tableColumn name="OthrBoiler_LFO" id="28"/>
    <tableColumn name="ROB_LFO" id="29"/>
    <tableColumn name="StandardAE_LFO" id="30"/>
    <tableColumn name="StandardBoiler_LFO" id="31"/>
    <tableColumn name="TotalConsumption_LFO" id="32"/>
    <tableColumn name="AETotalConsumption_IFO" id="33"/>
    <tableColumn name="BallastWaterAE_IFO" id="34"/>
    <tableColumn name="BallastWaterBoiler_IFO" id="35"/>
    <tableColumn name="BoilerTotalConsumption_IFO" id="36"/>
    <tableColumn name="CargoCoolingAE_IFO" id="37"/>
    <tableColumn name="CargoCoolingBoiler_IFO" id="38"/>
    <tableColumn name="MainEngine_IFO" id="39"/>
    <tableColumn name="MainEngineTotal_IFO" id="40"/>
    <tableColumn name="OtherAE_IFO" id="41"/>
    <tableColumn name="OtherBoiler_IFO" id="42"/>
    <tableColumn name="ROB_IFO" id="43"/>
    <tableColumn name="StandardAE_IFO" id="44"/>
    <tableColumn name="StandardBoiler_IFO" id="45"/>
    <tableColumn name="TotalConsumption_IFO" id="46"/>
    <tableColumn name="AETotalConsumption_MGO" id="47"/>
    <tableColumn name="BallastWaterAE_MGO" id="48"/>
    <tableColumn name="BallastWaterBoiler_MGO" id="49"/>
    <tableColumn name="BoilerTotalConsumption_MGO" id="50"/>
    <tableColumn name="CargoCoolingAE_MGO" id="51"/>
    <tableColumn name="CargoCoolingBoiler_MGO" id="52"/>
    <tableColumn name="MainEngine_MGO" id="53"/>
    <tableColumn name="MainEngineTotal_MGO" id="54"/>
    <tableColumn name="OtherAE_MGO" id="55"/>
    <tableColumn name="OtherBoiler_MGO" id="56"/>
    <tableColumn name="ROB_MGO" id="57"/>
    <tableColumn name="StandardAE_MGO" id="58"/>
    <tableColumn name="StandardBoiler_MGO" id="59"/>
    <tableColumn name="TotalConsumption_MGO" id="60"/>
    <tableColumn name="AETotalConsumption_LGO" id="61"/>
    <tableColumn name="BallastWaterAE_LGO" id="62"/>
    <tableColumn name="BallastWaterBoiler_LGO" id="63"/>
    <tableColumn name="BoilerTotalConsumption_LGO" id="64"/>
    <tableColumn name="CargoCoolingAE_LGO" id="65"/>
    <tableColumn name="CargoCoolingBoiler_LGO" id="66"/>
    <tableColumn name="MainEngine_LGO" id="67"/>
    <tableColumn name="MainEngineTotal_LGO" id="68"/>
    <tableColumn name="OtherAE_LGO" id="69"/>
    <tableColumn name="OtherBoiler_LGO" id="70"/>
    <tableColumn name="ROB_LGO" id="71"/>
    <tableColumn name="StandardAE_LGO" id="72"/>
    <tableColumn name="StandardBoiler_LGO" id="73"/>
    <tableColumn name="TotalConsumption_LGO" id="74"/>
    <tableColumn name="BunkersSuppliedIFO" id="75"/>
    <tableColumn name="BunkersSuppliedLFO" id="76"/>
    <tableColumn name="BunkersSuppliedMGO" id="77"/>
    <tableColumn name="BunkersSuppliedLGO" id="78"/>
    <tableColumn name="BunkersSuppliedLIFO" id="79"/>
    <tableColumn name="BunkersSuppliedLLFO" id="80"/>
    <tableColumn name="BunkerSurveyDeBunkeringIFO" id="81"/>
    <tableColumn name="BunkerSurveyDeBunkeringLFO" id="82"/>
    <tableColumn name="BunkerSurveyDeBunkeringMGO" id="83"/>
    <tableColumn name="BunkerSurveyDeBunkeringLGO" id="84"/>
    <tableColumn name="BunkerSurveyDeBunkeringLIFO" id="85"/>
    <tableColumn name="BunkerSurveyDeBunkeringLLFO" id="86"/>
    <tableColumn name="DraftAftm" id="87"/>
    <tableColumn name="DraftForem" id="88"/>
    <tableColumn name="GeneralRemarks" id="89"/>
    <tableColumn name="HoursSinceLastReport" id="90"/>
    <tableColumn name="ObservedDistancenm" id="91"/>
    <tableColumn name="MEPowerkW" id="92"/>
    <tableColumn name="MERunningHours" id="93"/>
    <tableColumn name="AE1RunningHours" id="94"/>
    <tableColumn name="AE1PowerKW" id="95"/>
    <tableColumn name="AE2RunningHours" id="96"/>
    <tableColumn name="AE2PowerKW" id="97"/>
    <tableColumn name="AE3RunningHours" id="98"/>
    <tableColumn name="AE3PowerKW" id="99"/>
    <tableColumn name="AE4RunningHours" id="100"/>
    <tableColumn name="AE4PowerKW" id="101"/>
    <tableColumn name="ShaftGeneratorPower" id="102"/>
    <tableColumn name="ShaftGeneratorRunningHours" id="103"/>
    <tableColumn name="VesselConditionBallastLaden" id="104"/>
    <tableColumn name="LatitudeDeg" id="105"/>
    <tableColumn name="LatitudeMin" id="106"/>
    <tableColumn name="LatitudeSec" id="107"/>
    <tableColumn name="LatitudeDir" id="108"/>
    <tableColumn name="LongitudeDeg" id="109"/>
    <tableColumn name="LongitudeMin" id="110"/>
    <tableColumn name="LongitudeSec" id="111"/>
    <tableColumn name="LongitudeDir" id="112"/>
    <tableColumn name="RPMCounter" id="113"/>
    <tableColumn name="MERunningHoursCounter" id="114"/>
    <tableColumn name="CargoCoolingHours" id="115"/>
    <tableColumn name="LoadHours" id="116"/>
    <tableColumn name="DischargeHours" id="117"/>
    <tableColumn name="TotalCargoOnBoard" id="118"/>
    <tableColumn name="CargoLoaded" id="119"/>
    <tableColumn name="CargoDischarged" id="120"/>
    <tableColumn name="ChiefEngineer" id="121"/>
    <tableColumn name="Master" id="122"/>
    <tableColumn name="UTCOffset" id="123"/>
    <tableColumn name="VesselIMO" id="124"/>
    <tableColumn name="VesselName" id="125"/>
    <tableColumn name="ReportType" id="126"/>
    <tableColumn name="CurrentPort" id="127"/>
    <tableColumn name="ETDUTCOffset" id="128"/>
    <tableColumn name="ManeuveringHours" id="129"/>
    <tableColumn name="OnBerthHours" id="130"/>
    <tableColumn name="Date" id="131"/>
    <tableColumn name="Time" id="132"/>
    <tableColumn name="UTCTimestamp" id="133"/>
    <tableColumn name="ETDUTCTimestamp" id="134"/>
    <tableColumn name="ETDDate" id="135"/>
    <tableColumn name="ETDTime" id="136"/>
    <tableColumn name="AETotalConsumption_LIFO" id="137"/>
    <tableColumn name="BallastWaterAE_LIFO" id="138"/>
    <tableColumn name="BallastWaterBoiler_LIFO" id="139"/>
    <tableColumn name="BoilerTotalConsumption_LIFO" id="140"/>
    <tableColumn name="CargoCoolingAE_LIFO" id="141"/>
    <tableColumn name="CargoCoolingBoiler_LIFO" id="142"/>
    <tableColumn name="MainEngine_LIFO" id="143"/>
    <tableColumn name="MainEngineTotal_LIFO" id="144"/>
    <tableColumn name="OtherAE_LIFO" id="145"/>
    <tableColumn name="OtherBoiler_LIFO" id="146"/>
    <tableColumn name="CargoDischargingAE_LIFO" id="147"/>
    <tableColumn name="CargoDischargingBoiler_LIFO" id="148"/>
    <tableColumn name="CargoLoadingAE_LIFO" id="149"/>
    <tableColumn name="CargoLoadingBoiler_LIFO" id="150"/>
    <tableColumn name="ROB_LIFO" id="151"/>
    <tableColumn name="StandardAE_LIFO" id="152"/>
    <tableColumn name="StandardBoiler_LIFO" id="153"/>
    <tableColumn name="TotalConsumption_LIFO" id="154"/>
    <tableColumn name="AETotalConsumption_LLFO" id="155"/>
    <tableColumn name="BallastWaterAE_LLFO" id="156"/>
    <tableColumn name="BallastWaterBoiler_LLFO" id="157"/>
    <tableColumn name="BoilerTotalConsumption_LLFO" id="158"/>
    <tableColumn name="CargoCoolingAE_LLFO" id="159"/>
    <tableColumn name="CargoCoolingBoiler_LLFO" id="160"/>
    <tableColumn name="MainEngine_LLFO" id="161"/>
    <tableColumn name="MainEngineTotal_LLFO" id="162"/>
    <tableColumn name="OtherAE_LLFO" id="163"/>
    <tableColumn name="OtherBoiler_LLFO" id="164"/>
    <tableColumn name="CargoDischargingAE_LLFO" id="165"/>
    <tableColumn name="CargoDischargingBoiler_LLFO" id="166"/>
    <tableColumn name="CargoLoadingAE_LLFO" id="167"/>
    <tableColumn name="CargoLoadingBoiler_LLFO" id="168"/>
    <tableColumn name="ROB_LLFO" id="169"/>
    <tableColumn name="StandardAE_LLFO" id="170"/>
    <tableColumn name="StandardBoiler_LLFO" id="171"/>
    <tableColumn name="TotalConsumption_LLFO" id="172"/>
    <tableColumn name="CargoCoolingEnergykWh" id="173"/>
    <tableColumn name="TotalCargoOnBoardM3" id="174"/>
  </tableColumns>
  <tableStyleInfo name="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80C41C"/>
      </a:accent1>
      <a:accent2>
        <a:srgbClr val="FFB905"/>
      </a:accent2>
      <a:accent3>
        <a:srgbClr val="071447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2.43"/>
    <col customWidth="1" min="3" max="3" width="26.86"/>
    <col customWidth="1" min="4" max="4" width="10.86"/>
    <col customWidth="1" min="5" max="5" width="2.86"/>
    <col customWidth="1" min="6" max="9" width="6.86"/>
    <col customWidth="1" min="10" max="11" width="16.14"/>
    <col customWidth="1" min="12" max="12" width="3.0"/>
    <col customWidth="1" min="13" max="13" width="7.86"/>
    <col customWidth="1" min="14" max="14" width="17.29"/>
    <col customWidth="1" min="15" max="15" width="9.14"/>
    <col customWidth="1" min="16" max="16" width="21.0"/>
    <col customWidth="1" min="17" max="17" width="9.14"/>
    <col customWidth="1" min="18" max="18" width="21.0"/>
    <col customWidth="1" min="19" max="19" width="7.71"/>
    <col customWidth="1" min="20" max="20" width="3.29"/>
    <col customWidth="1" min="21" max="21" width="19.86"/>
    <col customWidth="1" min="22" max="24" width="9.14"/>
    <col customWidth="1" min="25" max="25" width="2.14"/>
    <col customWidth="1" hidden="1" min="26" max="29" width="8.71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3"/>
      <c r="AB1" s="3"/>
      <c r="AC1" s="3"/>
    </row>
    <row r="2" ht="12.75" customHeight="1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/>
      <c r="AA2" s="6"/>
      <c r="AB2" s="6"/>
      <c r="AC2" s="6"/>
    </row>
    <row r="3" ht="21.0" customHeight="1">
      <c r="A3" s="4"/>
      <c r="B3" s="5"/>
      <c r="C3" s="7" t="s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  <c r="AA3" s="6"/>
      <c r="AB3" s="6"/>
      <c r="AC3" s="6"/>
    </row>
    <row r="4" ht="12.7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3"/>
      <c r="AA4" s="3"/>
      <c r="AB4" s="3"/>
      <c r="AC4" s="3"/>
    </row>
    <row r="5" ht="15.75" customHeight="1">
      <c r="A5" s="1"/>
      <c r="B5" s="2" t="s">
        <v>1</v>
      </c>
      <c r="C5" s="8" t="s">
        <v>2</v>
      </c>
      <c r="D5" s="9"/>
      <c r="E5" s="9"/>
      <c r="F5" s="9"/>
      <c r="G5" s="9"/>
      <c r="H5" s="9"/>
      <c r="I5" s="9"/>
      <c r="J5" s="9"/>
      <c r="K5" s="9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3"/>
      <c r="AA5" s="3"/>
      <c r="AB5" s="3"/>
      <c r="AC5" s="3"/>
    </row>
    <row r="6" ht="15.75" customHeight="1">
      <c r="A6" s="1"/>
      <c r="B6" s="2" t="s">
        <v>3</v>
      </c>
      <c r="C6" s="8" t="s">
        <v>4</v>
      </c>
      <c r="D6" s="9"/>
      <c r="E6" s="9"/>
      <c r="F6" s="9"/>
      <c r="G6" s="9"/>
      <c r="H6" s="9"/>
      <c r="I6" s="9"/>
      <c r="J6" s="9"/>
      <c r="K6" s="9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3"/>
      <c r="AA6" s="3"/>
      <c r="AB6" s="3"/>
      <c r="AC6" s="3"/>
    </row>
    <row r="7" ht="15.75" customHeight="1">
      <c r="A7" s="1"/>
      <c r="B7" s="2" t="s">
        <v>5</v>
      </c>
      <c r="C7" s="11" t="s">
        <v>6</v>
      </c>
      <c r="D7" s="12" t="s">
        <v>7</v>
      </c>
      <c r="E7" s="9"/>
      <c r="F7" s="9"/>
      <c r="G7" s="9"/>
      <c r="H7" s="9"/>
      <c r="I7" s="9"/>
      <c r="J7" s="9"/>
      <c r="K7" s="9"/>
      <c r="L7" s="10"/>
      <c r="M7" s="1"/>
      <c r="N7" s="11" t="s">
        <v>8</v>
      </c>
      <c r="O7" s="12" t="s">
        <v>9</v>
      </c>
      <c r="P7" s="9"/>
      <c r="Q7" s="9"/>
      <c r="R7" s="9"/>
      <c r="S7" s="10"/>
      <c r="T7" s="1"/>
      <c r="U7" s="1"/>
      <c r="V7" s="1"/>
      <c r="W7" s="1"/>
      <c r="X7" s="1"/>
      <c r="Y7" s="1"/>
      <c r="Z7" s="3"/>
      <c r="AA7" s="3"/>
      <c r="AB7" s="3"/>
      <c r="AC7" s="3"/>
    </row>
    <row r="8" ht="15.75" customHeight="1">
      <c r="A8" s="1"/>
      <c r="B8" s="2" t="s">
        <v>10</v>
      </c>
      <c r="C8" s="11" t="s">
        <v>11</v>
      </c>
      <c r="D8" s="13">
        <v>45492.0</v>
      </c>
      <c r="E8" s="9"/>
      <c r="F8" s="9"/>
      <c r="G8" s="9"/>
      <c r="H8" s="9"/>
      <c r="I8" s="9"/>
      <c r="J8" s="9"/>
      <c r="K8" s="9"/>
      <c r="L8" s="10"/>
      <c r="M8" s="1"/>
      <c r="N8" s="11" t="s">
        <v>12</v>
      </c>
      <c r="O8" s="14">
        <v>0.4756944444444444</v>
      </c>
      <c r="P8" s="9"/>
      <c r="Q8" s="9"/>
      <c r="R8" s="9"/>
      <c r="S8" s="10"/>
      <c r="T8" s="1"/>
      <c r="U8" s="11" t="s">
        <v>13</v>
      </c>
      <c r="V8" s="15" t="s">
        <v>14</v>
      </c>
      <c r="W8" s="9"/>
      <c r="X8" s="10"/>
      <c r="Y8" s="1"/>
      <c r="Z8" s="3"/>
      <c r="AA8" s="3"/>
      <c r="AB8" s="3"/>
      <c r="AC8" s="3"/>
    </row>
    <row r="9" ht="15.75" customHeight="1">
      <c r="A9" s="1"/>
      <c r="B9" s="2"/>
      <c r="C9" s="11" t="s">
        <v>15</v>
      </c>
      <c r="D9" s="16">
        <v>45492.0</v>
      </c>
      <c r="E9" s="9"/>
      <c r="F9" s="9"/>
      <c r="G9" s="9"/>
      <c r="H9" s="9"/>
      <c r="I9" s="9"/>
      <c r="J9" s="9"/>
      <c r="K9" s="9"/>
      <c r="L9" s="10"/>
      <c r="M9" s="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3"/>
      <c r="AA9" s="3"/>
      <c r="AB9" s="3"/>
      <c r="AC9" s="3"/>
    </row>
    <row r="10" ht="15.75" customHeight="1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6"/>
      <c r="AA10" s="6"/>
      <c r="AB10" s="6"/>
      <c r="AC10" s="6"/>
    </row>
    <row r="11" ht="15.75" customHeight="1">
      <c r="A11" s="1"/>
      <c r="B11" s="2" t="s">
        <v>16</v>
      </c>
      <c r="C11" s="11" t="s">
        <v>17</v>
      </c>
      <c r="D11" s="17">
        <v>8.0</v>
      </c>
      <c r="E11" s="18">
        <v>0.0</v>
      </c>
      <c r="F11" s="19">
        <v>36.0</v>
      </c>
      <c r="G11" s="9"/>
      <c r="H11" s="9"/>
      <c r="I11" s="10"/>
      <c r="J11" s="20" t="s">
        <v>18</v>
      </c>
      <c r="K11" s="17">
        <v>11.6</v>
      </c>
      <c r="L11" s="21" t="s">
        <v>19</v>
      </c>
      <c r="M11" s="22" t="s">
        <v>20</v>
      </c>
      <c r="N11" s="23" t="s">
        <v>21</v>
      </c>
      <c r="O11" s="24">
        <v>48.0</v>
      </c>
      <c r="P11" s="18">
        <v>0.0</v>
      </c>
      <c r="Q11" s="17">
        <v>59.0</v>
      </c>
      <c r="R11" s="20" t="s">
        <v>18</v>
      </c>
      <c r="S11" s="17">
        <v>22.1</v>
      </c>
      <c r="T11" s="25" t="s">
        <v>19</v>
      </c>
      <c r="U11" s="26" t="s">
        <v>22</v>
      </c>
      <c r="V11" s="1"/>
      <c r="W11" s="1"/>
      <c r="X11" s="1"/>
      <c r="Y11" s="1"/>
      <c r="Z11" s="3"/>
      <c r="AA11" s="3"/>
      <c r="AB11" s="3"/>
      <c r="AC11" s="3"/>
    </row>
    <row r="12" ht="15.7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  <c r="AA12" s="28"/>
      <c r="AB12" s="28"/>
      <c r="AC12" s="28"/>
    </row>
    <row r="13" ht="15.75" customHeight="1">
      <c r="A13" s="1"/>
      <c r="B13" s="2" t="s">
        <v>23</v>
      </c>
      <c r="C13" s="29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3"/>
      <c r="AA13" s="3"/>
      <c r="AB13" s="3"/>
      <c r="AC13" s="3"/>
    </row>
    <row r="14" ht="15.75" customHeight="1">
      <c r="A14" s="1"/>
      <c r="B14" s="2" t="s">
        <v>25</v>
      </c>
      <c r="C14" s="11" t="s">
        <v>11</v>
      </c>
      <c r="D14" s="30"/>
      <c r="E14" s="9"/>
      <c r="F14" s="9"/>
      <c r="G14" s="9"/>
      <c r="H14" s="9"/>
      <c r="I14" s="9"/>
      <c r="J14" s="9"/>
      <c r="K14" s="9"/>
      <c r="L14" s="10"/>
      <c r="M14" s="1"/>
      <c r="N14" s="11" t="s">
        <v>12</v>
      </c>
      <c r="O14" s="15"/>
      <c r="P14" s="9"/>
      <c r="Q14" s="9"/>
      <c r="R14" s="9"/>
      <c r="S14" s="10"/>
      <c r="T14" s="1"/>
      <c r="U14" s="11" t="s">
        <v>13</v>
      </c>
      <c r="V14" s="12"/>
      <c r="W14" s="9"/>
      <c r="X14" s="10"/>
      <c r="Y14" s="1"/>
      <c r="Z14" s="3"/>
      <c r="AA14" s="3"/>
      <c r="AB14" s="3"/>
      <c r="AC14" s="3"/>
    </row>
    <row r="15" ht="15.75" customHeight="1">
      <c r="A15" s="1"/>
      <c r="B15" s="2"/>
      <c r="C15" s="11" t="s">
        <v>26</v>
      </c>
      <c r="D15" s="31" t="str">
        <f>IF(OR(D14="",O14="",V14=""),"",INT(D14)+O14-((NUMBERVALUE(MID(V14,2,2))/24+(RIGHT(V14,2)/60/24)))*(IF(LEFT(V14,1)="+",1,-1)))</f>
        <v/>
      </c>
      <c r="E15" s="9"/>
      <c r="F15" s="9"/>
      <c r="G15" s="9"/>
      <c r="H15" s="9"/>
      <c r="I15" s="9"/>
      <c r="J15" s="9"/>
      <c r="K15" s="9"/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"/>
      <c r="Z15" s="3"/>
      <c r="AA15" s="3"/>
      <c r="AB15" s="3"/>
      <c r="AC15" s="3"/>
    </row>
    <row r="16" ht="15.75" customHeight="1">
      <c r="A16" s="27"/>
      <c r="B16" s="2" t="s">
        <v>27</v>
      </c>
      <c r="C16" s="26">
        <v>17.2</v>
      </c>
      <c r="D16" s="1" t="s">
        <v>28</v>
      </c>
      <c r="E16" s="27"/>
      <c r="F16" s="27"/>
      <c r="G16" s="27"/>
      <c r="H16" s="27"/>
      <c r="I16" s="27"/>
      <c r="J16" s="27"/>
      <c r="K16" s="27"/>
      <c r="L16" s="27"/>
      <c r="M16" s="1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  <c r="AA16" s="28"/>
      <c r="AB16" s="28"/>
      <c r="AC16" s="28"/>
    </row>
    <row r="17" ht="15.75" customHeight="1">
      <c r="A17" s="1"/>
      <c r="B17" s="2" t="s">
        <v>29</v>
      </c>
      <c r="C17" s="26">
        <v>0.0</v>
      </c>
      <c r="D17" s="1" t="s">
        <v>28</v>
      </c>
      <c r="E17" s="1"/>
      <c r="F17" s="2" t="s">
        <v>30</v>
      </c>
      <c r="G17" s="2"/>
      <c r="H17" s="2"/>
      <c r="I17" s="2"/>
      <c r="J17" s="32" t="s">
        <v>31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  <c r="AA17" s="3"/>
      <c r="AB17" s="3"/>
      <c r="AC17" s="3"/>
    </row>
    <row r="18" ht="15.75" customHeight="1">
      <c r="A18" s="27"/>
      <c r="B18" s="2" t="s">
        <v>32</v>
      </c>
      <c r="C18" s="33">
        <f>C16+C17</f>
        <v>17.2</v>
      </c>
      <c r="D18" s="1" t="s">
        <v>28</v>
      </c>
      <c r="E18" s="1"/>
      <c r="F18" s="2" t="s">
        <v>33</v>
      </c>
      <c r="G18" s="2"/>
      <c r="H18" s="2"/>
      <c r="I18" s="2"/>
      <c r="J18" s="34">
        <v>3.5</v>
      </c>
      <c r="K18" s="1" t="s">
        <v>34</v>
      </c>
      <c r="L18" s="2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27"/>
      <c r="Z18" s="28"/>
      <c r="AA18" s="28"/>
      <c r="AB18" s="28"/>
      <c r="AC18" s="28"/>
    </row>
    <row r="19" ht="15.75" customHeight="1">
      <c r="A19" s="1"/>
      <c r="B19" s="2" t="s">
        <v>35</v>
      </c>
      <c r="C19" s="26">
        <v>0.0</v>
      </c>
      <c r="D19" s="1" t="s">
        <v>36</v>
      </c>
      <c r="E19" s="1"/>
      <c r="F19" s="2" t="s">
        <v>37</v>
      </c>
      <c r="G19" s="2"/>
      <c r="H19" s="2"/>
      <c r="I19" s="2"/>
      <c r="J19" s="34">
        <v>4.9</v>
      </c>
      <c r="K19" s="1" t="s">
        <v>34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3"/>
      <c r="AA19" s="3"/>
      <c r="AB19" s="3"/>
      <c r="AC19" s="3"/>
    </row>
    <row r="20" ht="15.75" customHeight="1">
      <c r="A20" s="1"/>
      <c r="B20" s="2" t="s">
        <v>38</v>
      </c>
      <c r="C20" s="35">
        <v>44257.38</v>
      </c>
      <c r="D20" s="1" t="s">
        <v>28</v>
      </c>
      <c r="E20" s="1"/>
      <c r="F20" s="2" t="s">
        <v>39</v>
      </c>
      <c r="G20" s="2"/>
      <c r="H20" s="2"/>
      <c r="I20" s="2"/>
      <c r="J20" s="35">
        <v>6.2897104E7</v>
      </c>
      <c r="K20" s="1" t="s">
        <v>40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  <c r="AA20" s="3"/>
      <c r="AB20" s="3"/>
      <c r="AC20" s="3"/>
    </row>
    <row r="21" ht="15.75" customHeight="1">
      <c r="A21" s="1"/>
      <c r="B21" s="2"/>
      <c r="C21" s="2"/>
      <c r="D21" s="1"/>
      <c r="E21" s="1"/>
      <c r="F21" s="2"/>
      <c r="G21" s="2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3"/>
      <c r="AA21" s="3"/>
      <c r="AB21" s="3"/>
      <c r="AC21" s="3"/>
    </row>
    <row r="22" ht="15.75" customHeight="1">
      <c r="A22" s="1"/>
      <c r="B22" s="2" t="s">
        <v>41</v>
      </c>
      <c r="C22" s="22">
        <v>5.4521</v>
      </c>
      <c r="D22" s="1" t="s">
        <v>42</v>
      </c>
      <c r="E22" s="1"/>
      <c r="F22" s="2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  <c r="AA22" s="3"/>
      <c r="AB22" s="3"/>
      <c r="AC22" s="3"/>
    </row>
    <row r="23" ht="15.75" customHeight="1">
      <c r="A23" s="1"/>
      <c r="B23" s="2" t="s">
        <v>43</v>
      </c>
      <c r="C23" s="22">
        <v>1.4526</v>
      </c>
      <c r="D23" s="1" t="s">
        <v>44</v>
      </c>
      <c r="E23" s="1"/>
      <c r="F23" s="36"/>
      <c r="G23" s="36"/>
      <c r="H23" s="36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3"/>
      <c r="AA23" s="3"/>
      <c r="AB23" s="3"/>
      <c r="AC23" s="3"/>
    </row>
    <row r="24" ht="15.75" customHeight="1">
      <c r="A24" s="1"/>
      <c r="B24" s="2" t="s">
        <v>45</v>
      </c>
      <c r="C24" s="11" t="s">
        <v>46</v>
      </c>
      <c r="D24" s="37">
        <v>254.3562</v>
      </c>
      <c r="E24" s="1" t="s">
        <v>44</v>
      </c>
      <c r="F24" s="36"/>
      <c r="G24" s="36"/>
      <c r="H24" s="38" t="s">
        <v>47</v>
      </c>
      <c r="I24" s="39"/>
      <c r="J24" s="40">
        <v>2442.17</v>
      </c>
      <c r="K24" s="1" t="s">
        <v>44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  <c r="AA24" s="3"/>
      <c r="AB24" s="3"/>
      <c r="AC24" s="3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3"/>
      <c r="AA25" s="3"/>
      <c r="AB25" s="3"/>
      <c r="AC25" s="3"/>
    </row>
    <row r="26" ht="15.75" customHeight="1">
      <c r="A26" s="1"/>
      <c r="B26" s="41" t="s">
        <v>48</v>
      </c>
      <c r="C26" s="42" t="s">
        <v>49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  <c r="R26" s="1"/>
      <c r="S26" s="1"/>
      <c r="T26" s="1"/>
      <c r="U26" s="1"/>
      <c r="V26" s="1"/>
      <c r="W26" s="1"/>
      <c r="X26" s="1"/>
      <c r="Y26" s="1"/>
      <c r="Z26" s="6"/>
      <c r="AA26" s="6"/>
      <c r="AB26" s="6"/>
      <c r="AC26" s="6"/>
    </row>
    <row r="27" ht="15.75" customHeight="1">
      <c r="A27" s="1"/>
      <c r="B27" s="45"/>
      <c r="C27" s="46"/>
      <c r="Q27" s="47"/>
      <c r="R27" s="1"/>
      <c r="S27" s="1"/>
      <c r="T27" s="1"/>
      <c r="U27" s="1"/>
      <c r="V27" s="1"/>
      <c r="W27" s="1"/>
      <c r="X27" s="1"/>
      <c r="Y27" s="1"/>
      <c r="Z27" s="6"/>
      <c r="AA27" s="6"/>
      <c r="AB27" s="6"/>
      <c r="AC27" s="6"/>
    </row>
    <row r="28" ht="15.75" customHeight="1">
      <c r="A28" s="27"/>
      <c r="B28" s="45"/>
      <c r="C28" s="48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50"/>
      <c r="R28" s="36"/>
      <c r="S28" s="36"/>
      <c r="T28" s="36"/>
      <c r="U28" s="36"/>
      <c r="V28" s="36"/>
      <c r="W28" s="36"/>
      <c r="X28" s="36"/>
      <c r="Y28" s="36"/>
      <c r="Z28" s="28"/>
      <c r="AA28" s="28"/>
      <c r="AB28" s="28"/>
      <c r="AC28" s="28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  <c r="AA29" s="3"/>
      <c r="AB29" s="3"/>
      <c r="AC29" s="3"/>
    </row>
    <row r="30" ht="15.75" customHeight="1">
      <c r="A30" s="27"/>
      <c r="B30" s="51" t="s">
        <v>50</v>
      </c>
      <c r="C30" s="52" t="s">
        <v>51</v>
      </c>
      <c r="D30" s="53"/>
      <c r="E30" s="53"/>
      <c r="F30" s="54" t="s">
        <v>52</v>
      </c>
      <c r="G30" s="55"/>
      <c r="H30" s="55"/>
      <c r="I30" s="55"/>
      <c r="J30" s="53"/>
      <c r="K30" s="53" t="s">
        <v>53</v>
      </c>
      <c r="L30" s="53"/>
      <c r="M30" s="53"/>
      <c r="N30" s="53"/>
      <c r="O30" s="53"/>
      <c r="P30" s="53"/>
      <c r="Q30" s="53"/>
      <c r="R30" s="1"/>
      <c r="S30" s="1"/>
      <c r="T30" s="1"/>
      <c r="U30" s="1"/>
      <c r="V30" s="1"/>
      <c r="W30" s="1"/>
      <c r="X30" s="1"/>
      <c r="Y30" s="1"/>
      <c r="Z30" s="28"/>
      <c r="AA30" s="28"/>
      <c r="AB30" s="28"/>
      <c r="AC30" s="28"/>
    </row>
    <row r="31" ht="15.75" customHeight="1">
      <c r="A31" s="27"/>
      <c r="B31" s="53"/>
      <c r="C31" s="53"/>
      <c r="D31" s="53"/>
      <c r="E31" s="53"/>
      <c r="F31" s="52">
        <v>1.0</v>
      </c>
      <c r="G31" s="52">
        <v>2.0</v>
      </c>
      <c r="H31" s="52">
        <v>3.0</v>
      </c>
      <c r="I31" s="52">
        <v>4.0</v>
      </c>
      <c r="J31" s="53"/>
      <c r="K31" s="53"/>
      <c r="L31" s="53"/>
      <c r="M31" s="53"/>
      <c r="N31" s="53"/>
      <c r="O31" s="53"/>
      <c r="P31" s="53"/>
      <c r="Q31" s="53"/>
      <c r="R31" s="1"/>
      <c r="S31" s="1"/>
      <c r="T31" s="1"/>
      <c r="U31" s="1"/>
      <c r="V31" s="1"/>
      <c r="W31" s="1"/>
      <c r="X31" s="1"/>
      <c r="Y31" s="1"/>
      <c r="Z31" s="28"/>
      <c r="AA31" s="28"/>
      <c r="AB31" s="28"/>
      <c r="AC31" s="28"/>
    </row>
    <row r="32" ht="15.75" customHeight="1">
      <c r="A32" s="27"/>
      <c r="B32" s="11" t="s">
        <v>54</v>
      </c>
      <c r="C32" s="22">
        <v>7.7777</v>
      </c>
      <c r="D32" s="52"/>
      <c r="E32" s="52"/>
      <c r="F32" s="26">
        <v>17.2</v>
      </c>
      <c r="G32" s="26">
        <v>17.2</v>
      </c>
      <c r="H32" s="22">
        <v>14.5264</v>
      </c>
      <c r="I32" s="22">
        <v>11.2545</v>
      </c>
      <c r="J32" s="52"/>
      <c r="K32" s="22">
        <v>12.54563</v>
      </c>
      <c r="L32" s="53"/>
      <c r="M32" s="53"/>
      <c r="N32" s="53"/>
      <c r="O32" s="53"/>
      <c r="P32" s="53"/>
      <c r="Q32" s="53"/>
      <c r="R32" s="1"/>
      <c r="S32" s="1"/>
      <c r="T32" s="1"/>
      <c r="U32" s="1"/>
      <c r="V32" s="1"/>
      <c r="W32" s="1"/>
      <c r="X32" s="1"/>
      <c r="Y32" s="1"/>
      <c r="Z32" s="28"/>
      <c r="AA32" s="28"/>
      <c r="AB32" s="28"/>
      <c r="AC32" s="28"/>
    </row>
    <row r="33" ht="6.0" customHeight="1">
      <c r="A33" s="27"/>
      <c r="B33" s="53"/>
      <c r="C33" s="52"/>
      <c r="D33" s="52"/>
      <c r="E33" s="52"/>
      <c r="F33" s="52"/>
      <c r="G33" s="52"/>
      <c r="H33" s="52"/>
      <c r="I33" s="52"/>
      <c r="J33" s="52"/>
      <c r="K33" s="52"/>
      <c r="L33" s="53"/>
      <c r="M33" s="53"/>
      <c r="N33" s="53"/>
      <c r="O33" s="53"/>
      <c r="P33" s="53"/>
      <c r="Q33" s="53"/>
      <c r="R33" s="1"/>
      <c r="S33" s="1"/>
      <c r="T33" s="1"/>
      <c r="U33" s="1"/>
      <c r="V33" s="1"/>
      <c r="W33" s="1"/>
      <c r="X33" s="1"/>
      <c r="Y33" s="1"/>
      <c r="Z33" s="28"/>
      <c r="AA33" s="28"/>
      <c r="AB33" s="28"/>
      <c r="AC33" s="28"/>
    </row>
    <row r="34" ht="15.75" customHeight="1">
      <c r="A34" s="27"/>
      <c r="B34" s="11" t="s">
        <v>55</v>
      </c>
      <c r="C34" s="22">
        <v>6.4584</v>
      </c>
      <c r="D34" s="52"/>
      <c r="E34" s="52"/>
      <c r="F34" s="56">
        <v>126.0</v>
      </c>
      <c r="G34" s="56">
        <v>126.0</v>
      </c>
      <c r="H34" s="17">
        <v>154.0</v>
      </c>
      <c r="I34" s="17">
        <v>165.0</v>
      </c>
      <c r="J34" s="52"/>
      <c r="K34" s="22">
        <v>15.45874</v>
      </c>
      <c r="L34" s="53"/>
      <c r="M34" s="53"/>
      <c r="N34" s="53"/>
      <c r="O34" s="53"/>
      <c r="P34" s="53"/>
      <c r="Q34" s="53"/>
      <c r="R34" s="1"/>
      <c r="S34" s="1"/>
      <c r="T34" s="1"/>
      <c r="U34" s="1"/>
      <c r="V34" s="1"/>
      <c r="W34" s="1"/>
      <c r="X34" s="1"/>
      <c r="Y34" s="1"/>
      <c r="Z34" s="28"/>
      <c r="AA34" s="28"/>
      <c r="AB34" s="28"/>
      <c r="AC34" s="28"/>
    </row>
    <row r="35" ht="15.75" customHeight="1">
      <c r="A35" s="27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1"/>
      <c r="S35" s="1"/>
      <c r="T35" s="1"/>
      <c r="U35" s="1"/>
      <c r="V35" s="1"/>
      <c r="W35" s="1"/>
      <c r="X35" s="1"/>
      <c r="Y35" s="1"/>
      <c r="Z35" s="28"/>
      <c r="AA35" s="28"/>
      <c r="AB35" s="28"/>
      <c r="AC35" s="28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3"/>
      <c r="AA36" s="3"/>
      <c r="AB36" s="3"/>
      <c r="AC36" s="3"/>
    </row>
    <row r="37" ht="12.75" customHeight="1">
      <c r="A37" s="1"/>
      <c r="B37" s="51" t="s">
        <v>56</v>
      </c>
      <c r="C37" s="57" t="s">
        <v>57</v>
      </c>
      <c r="D37" s="4"/>
      <c r="E37" s="4"/>
      <c r="F37" s="58" t="s">
        <v>58</v>
      </c>
      <c r="G37" s="55"/>
      <c r="H37" s="55"/>
      <c r="I37" s="55"/>
      <c r="J37" s="4"/>
      <c r="K37" s="57" t="s">
        <v>59</v>
      </c>
      <c r="L37" s="5"/>
      <c r="M37" s="5"/>
      <c r="N37" s="57" t="s">
        <v>60</v>
      </c>
      <c r="O37" s="5"/>
      <c r="P37" s="57" t="s">
        <v>61</v>
      </c>
      <c r="Q37" s="5"/>
      <c r="R37" s="57" t="s">
        <v>62</v>
      </c>
      <c r="S37" s="1"/>
      <c r="T37" s="1"/>
      <c r="U37" s="1"/>
      <c r="V37" s="1"/>
      <c r="W37" s="1"/>
      <c r="X37" s="1"/>
      <c r="Y37" s="1"/>
      <c r="Z37" s="3"/>
      <c r="AA37" s="3"/>
      <c r="AB37" s="3"/>
      <c r="AC37" s="3"/>
    </row>
    <row r="38" ht="12.75" customHeight="1">
      <c r="A38" s="1"/>
      <c r="B38" s="2"/>
      <c r="C38" s="52" t="s">
        <v>63</v>
      </c>
      <c r="D38" s="1"/>
      <c r="E38" s="1"/>
      <c r="F38" s="59" t="s">
        <v>63</v>
      </c>
      <c r="G38" s="60"/>
      <c r="H38" s="60"/>
      <c r="I38" s="60"/>
      <c r="J38" s="1"/>
      <c r="K38" s="52"/>
      <c r="L38" s="1"/>
      <c r="M38" s="1"/>
      <c r="N38" s="52"/>
      <c r="O38" s="1"/>
      <c r="P38" s="52" t="s">
        <v>64</v>
      </c>
      <c r="Q38" s="1"/>
      <c r="R38" s="52" t="s">
        <v>64</v>
      </c>
      <c r="S38" s="1"/>
      <c r="T38" s="1"/>
      <c r="U38" s="1"/>
      <c r="V38" s="1"/>
      <c r="W38" s="1"/>
      <c r="X38" s="1"/>
      <c r="Y38" s="1"/>
      <c r="Z38" s="3"/>
      <c r="AA38" s="3"/>
      <c r="AB38" s="3"/>
      <c r="AC38" s="3"/>
    </row>
    <row r="39" ht="15.75" customHeight="1">
      <c r="A39" s="1"/>
      <c r="B39" s="2" t="s">
        <v>65</v>
      </c>
      <c r="C39" s="61">
        <v>2.5445</v>
      </c>
      <c r="D39" s="62"/>
      <c r="E39" s="62"/>
      <c r="F39" s="63">
        <v>21.4562</v>
      </c>
      <c r="G39" s="9"/>
      <c r="H39" s="9"/>
      <c r="I39" s="10"/>
      <c r="J39" s="62"/>
      <c r="K39" s="61">
        <v>1.544</v>
      </c>
      <c r="L39" s="62"/>
      <c r="M39" s="62"/>
      <c r="N39" s="61">
        <v>3.4564</v>
      </c>
      <c r="O39" s="62"/>
      <c r="P39" s="61">
        <v>2.456</v>
      </c>
      <c r="Q39" s="62"/>
      <c r="R39" s="61">
        <v>7.453543</v>
      </c>
      <c r="S39" s="1"/>
      <c r="T39" s="1"/>
      <c r="U39" s="1"/>
      <c r="V39" s="1"/>
      <c r="W39" s="1"/>
      <c r="X39" s="1"/>
      <c r="Y39" s="1"/>
      <c r="Z39" s="3"/>
      <c r="AA39" s="3"/>
      <c r="AB39" s="3"/>
      <c r="AC39" s="3"/>
    </row>
    <row r="40" ht="6.0" customHeight="1">
      <c r="A40" s="1"/>
      <c r="B40" s="2"/>
      <c r="C40" s="64"/>
      <c r="D40" s="62"/>
      <c r="E40" s="62"/>
      <c r="F40" s="64"/>
      <c r="G40" s="62"/>
      <c r="H40" s="64"/>
      <c r="I40" s="64"/>
      <c r="J40" s="62"/>
      <c r="K40" s="64"/>
      <c r="L40" s="62"/>
      <c r="M40" s="62"/>
      <c r="N40" s="64"/>
      <c r="O40" s="62"/>
      <c r="P40" s="64"/>
      <c r="Q40" s="62"/>
      <c r="R40" s="64"/>
      <c r="S40" s="1"/>
      <c r="T40" s="1"/>
      <c r="U40" s="1"/>
      <c r="V40" s="1"/>
      <c r="W40" s="1"/>
      <c r="X40" s="1"/>
      <c r="Y40" s="1"/>
      <c r="Z40" s="3"/>
      <c r="AA40" s="3"/>
      <c r="AB40" s="3"/>
      <c r="AC40" s="3"/>
    </row>
    <row r="41" ht="12.75" customHeight="1">
      <c r="A41" s="1"/>
      <c r="B41" s="2" t="s">
        <v>66</v>
      </c>
      <c r="C41" s="61">
        <v>2.8475</v>
      </c>
      <c r="D41" s="62"/>
      <c r="E41" s="62"/>
      <c r="F41" s="63">
        <v>6.452</v>
      </c>
      <c r="G41" s="9"/>
      <c r="H41" s="9"/>
      <c r="I41" s="10"/>
      <c r="J41" s="62"/>
      <c r="K41" s="61">
        <v>1.0</v>
      </c>
      <c r="L41" s="62"/>
      <c r="M41" s="62"/>
      <c r="N41" s="61">
        <v>5.642</v>
      </c>
      <c r="O41" s="62"/>
      <c r="P41" s="61">
        <v>2.4564</v>
      </c>
      <c r="Q41" s="62"/>
      <c r="R41" s="61">
        <v>1.54685</v>
      </c>
      <c r="S41" s="1"/>
      <c r="T41" s="1"/>
      <c r="U41" s="1"/>
      <c r="V41" s="1"/>
      <c r="W41" s="1"/>
      <c r="X41" s="1"/>
      <c r="Y41" s="1"/>
      <c r="Z41" s="3"/>
      <c r="AA41" s="3"/>
      <c r="AB41" s="3"/>
      <c r="AC41" s="3"/>
    </row>
    <row r="42" ht="6.0" customHeight="1">
      <c r="A42" s="1"/>
      <c r="B42" s="2"/>
      <c r="C42" s="64"/>
      <c r="D42" s="62"/>
      <c r="E42" s="62"/>
      <c r="F42" s="64"/>
      <c r="G42" s="62"/>
      <c r="H42" s="64"/>
      <c r="I42" s="64"/>
      <c r="J42" s="62"/>
      <c r="K42" s="64"/>
      <c r="L42" s="62"/>
      <c r="M42" s="62"/>
      <c r="N42" s="64"/>
      <c r="O42" s="62"/>
      <c r="P42" s="64"/>
      <c r="Q42" s="62"/>
      <c r="R42" s="64"/>
      <c r="S42" s="1"/>
      <c r="T42" s="1"/>
      <c r="U42" s="1"/>
      <c r="V42" s="1"/>
      <c r="W42" s="1"/>
      <c r="X42" s="1"/>
      <c r="Y42" s="1"/>
      <c r="Z42" s="3"/>
      <c r="AA42" s="3"/>
      <c r="AB42" s="3"/>
      <c r="AC42" s="3"/>
    </row>
    <row r="43" ht="12.75" customHeight="1">
      <c r="A43" s="1"/>
      <c r="B43" s="5" t="s">
        <v>67</v>
      </c>
      <c r="C43" s="61">
        <v>9.545</v>
      </c>
      <c r="D43" s="62"/>
      <c r="E43" s="62"/>
      <c r="F43" s="63">
        <v>9.45512</v>
      </c>
      <c r="G43" s="9"/>
      <c r="H43" s="9"/>
      <c r="I43" s="10"/>
      <c r="J43" s="62"/>
      <c r="K43" s="61">
        <v>6.54545</v>
      </c>
      <c r="L43" s="62"/>
      <c r="M43" s="62"/>
      <c r="N43" s="65">
        <v>296.22</v>
      </c>
      <c r="O43" s="62"/>
      <c r="P43" s="61">
        <v>3.454</v>
      </c>
      <c r="Q43" s="62"/>
      <c r="R43" s="61">
        <v>8.4535</v>
      </c>
      <c r="S43" s="1"/>
      <c r="T43" s="1"/>
      <c r="U43" s="1"/>
      <c r="V43" s="1"/>
      <c r="W43" s="1"/>
      <c r="X43" s="1"/>
      <c r="Y43" s="1"/>
      <c r="Z43" s="3"/>
      <c r="AA43" s="3"/>
      <c r="AB43" s="3"/>
      <c r="AC43" s="3"/>
    </row>
    <row r="44" ht="12.0" customHeight="1">
      <c r="A44" s="1"/>
      <c r="B44" s="2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2"/>
      <c r="P44" s="62"/>
      <c r="Q44" s="62"/>
      <c r="R44" s="62"/>
      <c r="S44" s="1"/>
      <c r="T44" s="1"/>
      <c r="U44" s="1"/>
      <c r="V44" s="1"/>
      <c r="W44" s="1"/>
      <c r="X44" s="1"/>
      <c r="Y44" s="1"/>
      <c r="Z44" s="3"/>
      <c r="AA44" s="3"/>
      <c r="AB44" s="3"/>
      <c r="AC44" s="3"/>
    </row>
    <row r="45" ht="12.75" customHeight="1">
      <c r="A45" s="1"/>
      <c r="B45" s="51" t="s">
        <v>68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1"/>
      <c r="T45" s="1"/>
      <c r="U45" s="1"/>
      <c r="V45" s="1"/>
      <c r="W45" s="1"/>
      <c r="X45" s="1"/>
      <c r="Y45" s="1"/>
      <c r="Z45" s="3"/>
      <c r="AA45" s="3"/>
      <c r="AB45" s="3"/>
      <c r="AC45" s="3"/>
    </row>
    <row r="46" ht="6.0" customHeight="1">
      <c r="A46" s="1"/>
      <c r="B46" s="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2"/>
      <c r="P46" s="62"/>
      <c r="Q46" s="62"/>
      <c r="R46" s="62"/>
      <c r="S46" s="1"/>
      <c r="T46" s="1"/>
      <c r="U46" s="1"/>
      <c r="V46" s="1"/>
      <c r="W46" s="1"/>
      <c r="X46" s="1"/>
      <c r="Y46" s="1"/>
      <c r="Z46" s="3"/>
      <c r="AA46" s="3"/>
      <c r="AB46" s="3"/>
      <c r="AC46" s="3"/>
    </row>
    <row r="47" ht="12.75" customHeight="1">
      <c r="A47" s="1"/>
      <c r="B47" s="2" t="s">
        <v>69</v>
      </c>
      <c r="C47" s="61">
        <v>5.0</v>
      </c>
      <c r="D47" s="67"/>
      <c r="E47" s="68"/>
      <c r="F47" s="63">
        <v>8.0</v>
      </c>
      <c r="G47" s="9"/>
      <c r="H47" s="9"/>
      <c r="I47" s="10"/>
      <c r="J47" s="67"/>
      <c r="K47" s="61">
        <v>1.0</v>
      </c>
      <c r="L47" s="67"/>
      <c r="M47" s="67"/>
      <c r="N47" s="61">
        <v>3.0</v>
      </c>
      <c r="O47" s="62"/>
      <c r="P47" s="61">
        <v>8.0</v>
      </c>
      <c r="Q47" s="62"/>
      <c r="R47" s="61">
        <v>1.0</v>
      </c>
      <c r="S47" s="1"/>
      <c r="T47" s="1"/>
      <c r="U47" s="1"/>
      <c r="V47" s="1"/>
      <c r="W47" s="1"/>
      <c r="X47" s="1"/>
      <c r="Y47" s="1"/>
      <c r="Z47" s="3"/>
      <c r="AA47" s="3"/>
      <c r="AB47" s="3"/>
      <c r="AC47" s="3"/>
    </row>
    <row r="48" ht="6.0" customHeight="1">
      <c r="A48" s="1"/>
      <c r="B48" s="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2"/>
      <c r="P48" s="67"/>
      <c r="Q48" s="62"/>
      <c r="R48" s="67"/>
      <c r="S48" s="1"/>
      <c r="T48" s="1"/>
      <c r="U48" s="1"/>
      <c r="V48" s="1"/>
      <c r="W48" s="1"/>
      <c r="X48" s="1"/>
      <c r="Y48" s="1"/>
      <c r="Z48" s="3"/>
      <c r="AA48" s="3"/>
      <c r="AB48" s="3"/>
      <c r="AC48" s="3"/>
    </row>
    <row r="49" ht="12.75" customHeight="1">
      <c r="A49" s="1"/>
      <c r="B49" s="2" t="s">
        <v>70</v>
      </c>
      <c r="C49" s="69">
        <f>C47</f>
        <v>5</v>
      </c>
      <c r="D49" s="67"/>
      <c r="E49" s="67"/>
      <c r="F49" s="70">
        <f>F47</f>
        <v>8</v>
      </c>
      <c r="G49" s="9"/>
      <c r="H49" s="9"/>
      <c r="I49" s="10"/>
      <c r="J49" s="67"/>
      <c r="K49" s="69">
        <f>K47</f>
        <v>1</v>
      </c>
      <c r="L49" s="67"/>
      <c r="M49" s="67"/>
      <c r="N49" s="69">
        <f>N47</f>
        <v>3</v>
      </c>
      <c r="O49" s="62"/>
      <c r="P49" s="69">
        <f>P47</f>
        <v>8</v>
      </c>
      <c r="Q49" s="62"/>
      <c r="R49" s="69">
        <f>R47</f>
        <v>1</v>
      </c>
      <c r="S49" s="1"/>
      <c r="T49" s="1"/>
      <c r="U49" s="1"/>
      <c r="V49" s="1"/>
      <c r="W49" s="1"/>
      <c r="X49" s="1"/>
      <c r="Y49" s="1"/>
      <c r="Z49" s="3"/>
      <c r="AA49" s="3"/>
      <c r="AB49" s="3"/>
      <c r="AC49" s="3"/>
    </row>
    <row r="50" ht="12.75" customHeight="1">
      <c r="A50" s="1"/>
      <c r="B50" s="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2"/>
      <c r="P50" s="62"/>
      <c r="Q50" s="62"/>
      <c r="R50" s="62"/>
      <c r="S50" s="1"/>
      <c r="T50" s="1"/>
      <c r="U50" s="1"/>
      <c r="V50" s="1"/>
      <c r="W50" s="1"/>
      <c r="X50" s="1"/>
      <c r="Y50" s="1"/>
      <c r="Z50" s="3"/>
      <c r="AA50" s="3"/>
      <c r="AB50" s="3"/>
      <c r="AC50" s="3"/>
    </row>
    <row r="51" ht="12.75" customHeight="1">
      <c r="A51" s="1"/>
      <c r="B51" s="2" t="s">
        <v>71</v>
      </c>
      <c r="C51" s="61">
        <v>8.0</v>
      </c>
      <c r="D51" s="67"/>
      <c r="E51" s="67"/>
      <c r="F51" s="63">
        <v>6.0</v>
      </c>
      <c r="G51" s="9"/>
      <c r="H51" s="9"/>
      <c r="I51" s="10"/>
      <c r="J51" s="67"/>
      <c r="K51" s="61">
        <v>4.0</v>
      </c>
      <c r="L51" s="67"/>
      <c r="M51" s="67"/>
      <c r="N51" s="61">
        <v>1.0</v>
      </c>
      <c r="O51" s="62"/>
      <c r="P51" s="61">
        <v>2.0</v>
      </c>
      <c r="Q51" s="62"/>
      <c r="R51" s="61">
        <v>8.0</v>
      </c>
      <c r="S51" s="1"/>
      <c r="T51" s="1"/>
      <c r="U51" s="1"/>
      <c r="V51" s="1"/>
      <c r="W51" s="1"/>
      <c r="X51" s="1"/>
      <c r="Y51" s="1"/>
      <c r="Z51" s="3"/>
      <c r="AA51" s="3"/>
      <c r="AB51" s="3"/>
      <c r="AC51" s="3"/>
    </row>
    <row r="52" ht="6.0" customHeight="1">
      <c r="A52" s="1"/>
      <c r="B52" s="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2"/>
      <c r="P52" s="67"/>
      <c r="Q52" s="62"/>
      <c r="R52" s="67"/>
      <c r="S52" s="1"/>
      <c r="T52" s="1"/>
      <c r="U52" s="1"/>
      <c r="V52" s="1"/>
      <c r="W52" s="1"/>
      <c r="X52" s="1"/>
      <c r="Y52" s="1"/>
      <c r="Z52" s="3"/>
      <c r="AA52" s="3"/>
      <c r="AB52" s="3"/>
      <c r="AC52" s="3"/>
    </row>
    <row r="53" ht="12.75" customHeight="1">
      <c r="A53" s="1"/>
      <c r="B53" s="2" t="s">
        <v>72</v>
      </c>
      <c r="C53" s="61">
        <v>5.0</v>
      </c>
      <c r="D53" s="67"/>
      <c r="E53" s="67"/>
      <c r="F53" s="63">
        <v>9.0</v>
      </c>
      <c r="G53" s="9"/>
      <c r="H53" s="9"/>
      <c r="I53" s="10"/>
      <c r="J53" s="67"/>
      <c r="K53" s="61">
        <v>1.0</v>
      </c>
      <c r="L53" s="67"/>
      <c r="M53" s="67"/>
      <c r="N53" s="61">
        <v>0.0</v>
      </c>
      <c r="O53" s="62"/>
      <c r="P53" s="61">
        <v>8.0</v>
      </c>
      <c r="Q53" s="62"/>
      <c r="R53" s="61">
        <v>3.0</v>
      </c>
      <c r="S53" s="1"/>
      <c r="T53" s="1"/>
      <c r="U53" s="1"/>
      <c r="V53" s="1"/>
      <c r="W53" s="1"/>
      <c r="X53" s="1"/>
      <c r="Y53" s="1"/>
      <c r="Z53" s="3"/>
      <c r="AA53" s="3"/>
      <c r="AB53" s="3"/>
      <c r="AC53" s="3"/>
    </row>
    <row r="54" ht="6.0" customHeight="1">
      <c r="A54" s="1"/>
      <c r="B54" s="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2"/>
      <c r="P54" s="62"/>
      <c r="Q54" s="62"/>
      <c r="R54" s="62"/>
      <c r="S54" s="1"/>
      <c r="T54" s="1"/>
      <c r="U54" s="1"/>
      <c r="V54" s="1"/>
      <c r="W54" s="1"/>
      <c r="X54" s="1"/>
      <c r="Y54" s="1"/>
      <c r="Z54" s="3"/>
      <c r="AA54" s="3"/>
      <c r="AB54" s="3"/>
      <c r="AC54" s="3"/>
    </row>
    <row r="55" ht="12.75" customHeight="1">
      <c r="A55" s="1"/>
      <c r="B55" s="2" t="s">
        <v>73</v>
      </c>
      <c r="C55" s="61">
        <v>5.0</v>
      </c>
      <c r="D55" s="66"/>
      <c r="E55" s="66"/>
      <c r="F55" s="63">
        <v>4.0</v>
      </c>
      <c r="G55" s="9"/>
      <c r="H55" s="9"/>
      <c r="I55" s="10"/>
      <c r="J55" s="66"/>
      <c r="K55" s="61">
        <v>2.0</v>
      </c>
      <c r="L55" s="66"/>
      <c r="M55" s="66"/>
      <c r="N55" s="61">
        <v>4.0</v>
      </c>
      <c r="O55" s="62"/>
      <c r="P55" s="61">
        <v>7.0</v>
      </c>
      <c r="Q55" s="62"/>
      <c r="R55" s="61">
        <v>4.0</v>
      </c>
      <c r="S55" s="1"/>
      <c r="T55" s="1"/>
      <c r="U55" s="1"/>
      <c r="V55" s="1"/>
      <c r="W55" s="1"/>
      <c r="X55" s="1"/>
      <c r="Y55" s="1"/>
      <c r="Z55" s="3"/>
      <c r="AA55" s="3"/>
      <c r="AB55" s="3"/>
      <c r="AC55" s="3"/>
    </row>
    <row r="56" ht="6.0" customHeight="1">
      <c r="A56" s="1"/>
      <c r="B56" s="2"/>
      <c r="C56" s="67"/>
      <c r="D56" s="62"/>
      <c r="E56" s="67"/>
      <c r="F56" s="67"/>
      <c r="G56" s="67"/>
      <c r="H56" s="67"/>
      <c r="I56" s="67"/>
      <c r="J56" s="67"/>
      <c r="K56" s="67"/>
      <c r="L56" s="67"/>
      <c r="M56" s="62"/>
      <c r="N56" s="67"/>
      <c r="O56" s="62"/>
      <c r="P56" s="67"/>
      <c r="Q56" s="62"/>
      <c r="R56" s="67"/>
      <c r="S56" s="1"/>
      <c r="T56" s="1"/>
      <c r="U56" s="1"/>
      <c r="V56" s="1"/>
      <c r="W56" s="1"/>
      <c r="X56" s="1"/>
      <c r="Y56" s="1"/>
      <c r="Z56" s="3"/>
      <c r="AA56" s="3"/>
      <c r="AB56" s="3"/>
      <c r="AC56" s="3"/>
    </row>
    <row r="57" ht="12.75" customHeight="1">
      <c r="A57" s="1"/>
      <c r="B57" s="2" t="s">
        <v>74</v>
      </c>
      <c r="C57" s="61">
        <v>7.0</v>
      </c>
      <c r="D57" s="66"/>
      <c r="E57" s="66"/>
      <c r="F57" s="63">
        <v>3.0</v>
      </c>
      <c r="G57" s="9"/>
      <c r="H57" s="9"/>
      <c r="I57" s="10"/>
      <c r="J57" s="66"/>
      <c r="K57" s="61">
        <v>5.0</v>
      </c>
      <c r="L57" s="66"/>
      <c r="M57" s="66"/>
      <c r="N57" s="61">
        <v>3.0</v>
      </c>
      <c r="O57" s="62"/>
      <c r="P57" s="61">
        <v>4.0</v>
      </c>
      <c r="Q57" s="62"/>
      <c r="R57" s="61">
        <v>3.0</v>
      </c>
      <c r="S57" s="1"/>
      <c r="T57" s="1"/>
      <c r="U57" s="1"/>
      <c r="V57" s="1"/>
      <c r="W57" s="1"/>
      <c r="X57" s="1"/>
      <c r="Y57" s="1"/>
      <c r="Z57" s="3"/>
      <c r="AA57" s="3"/>
      <c r="AB57" s="3"/>
      <c r="AC57" s="3"/>
    </row>
    <row r="58" ht="6.0" customHeight="1">
      <c r="A58" s="1"/>
      <c r="B58" s="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2"/>
      <c r="P58" s="62"/>
      <c r="Q58" s="62"/>
      <c r="R58" s="62"/>
      <c r="S58" s="1"/>
      <c r="T58" s="1"/>
      <c r="U58" s="1"/>
      <c r="V58" s="1"/>
      <c r="W58" s="1"/>
      <c r="X58" s="1"/>
      <c r="Y58" s="1"/>
      <c r="Z58" s="3"/>
      <c r="AA58" s="3"/>
      <c r="AB58" s="3"/>
      <c r="AC58" s="3"/>
    </row>
    <row r="59" ht="12.75" customHeight="1">
      <c r="A59" s="1"/>
      <c r="B59" s="2" t="s">
        <v>75</v>
      </c>
      <c r="C59" s="61">
        <v>5.0</v>
      </c>
      <c r="D59" s="67"/>
      <c r="E59" s="67"/>
      <c r="F59" s="63">
        <v>2.0</v>
      </c>
      <c r="G59" s="9"/>
      <c r="H59" s="9"/>
      <c r="I59" s="10"/>
      <c r="J59" s="67"/>
      <c r="K59" s="61">
        <v>4.0</v>
      </c>
      <c r="L59" s="67"/>
      <c r="M59" s="67"/>
      <c r="N59" s="61">
        <v>2.0</v>
      </c>
      <c r="O59" s="62"/>
      <c r="P59" s="61">
        <v>7.0</v>
      </c>
      <c r="Q59" s="62"/>
      <c r="R59" s="61">
        <v>5.0</v>
      </c>
      <c r="S59" s="1"/>
      <c r="T59" s="1"/>
      <c r="U59" s="1"/>
      <c r="V59" s="1"/>
      <c r="W59" s="1"/>
      <c r="X59" s="1"/>
      <c r="Y59" s="1"/>
      <c r="Z59" s="3"/>
      <c r="AA59" s="3"/>
      <c r="AB59" s="3"/>
      <c r="AC59" s="3"/>
    </row>
    <row r="60" ht="6.0" customHeight="1">
      <c r="A60" s="1"/>
      <c r="B60" s="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2"/>
      <c r="P60" s="67"/>
      <c r="Q60" s="62"/>
      <c r="R60" s="67"/>
      <c r="S60" s="1"/>
      <c r="T60" s="1"/>
      <c r="U60" s="1"/>
      <c r="V60" s="1"/>
      <c r="W60" s="1"/>
      <c r="X60" s="1"/>
      <c r="Y60" s="1"/>
      <c r="Z60" s="3"/>
      <c r="AA60" s="3"/>
      <c r="AB60" s="3"/>
      <c r="AC60" s="3"/>
    </row>
    <row r="61" ht="12.75" customHeight="1">
      <c r="A61" s="1"/>
      <c r="B61" s="2" t="s">
        <v>76</v>
      </c>
      <c r="C61" s="61">
        <v>4.0</v>
      </c>
      <c r="D61" s="67"/>
      <c r="E61" s="67"/>
      <c r="F61" s="63">
        <v>2.0</v>
      </c>
      <c r="G61" s="9"/>
      <c r="H61" s="9"/>
      <c r="I61" s="10"/>
      <c r="J61" s="67"/>
      <c r="K61" s="61">
        <v>1.0</v>
      </c>
      <c r="L61" s="67"/>
      <c r="M61" s="67"/>
      <c r="N61" s="61">
        <v>4.0</v>
      </c>
      <c r="O61" s="62"/>
      <c r="P61" s="61">
        <v>5.0</v>
      </c>
      <c r="Q61" s="62"/>
      <c r="R61" s="61">
        <v>4.0</v>
      </c>
      <c r="S61" s="1"/>
      <c r="T61" s="1"/>
      <c r="U61" s="1"/>
      <c r="V61" s="1"/>
      <c r="W61" s="1"/>
      <c r="X61" s="1"/>
      <c r="Y61" s="1"/>
      <c r="Z61" s="3"/>
      <c r="AA61" s="3"/>
      <c r="AB61" s="3"/>
      <c r="AC61" s="3"/>
    </row>
    <row r="62" ht="6.0" customHeight="1">
      <c r="A62" s="1"/>
      <c r="B62" s="2"/>
      <c r="C62" s="66"/>
      <c r="D62" s="67"/>
      <c r="E62" s="67"/>
      <c r="F62" s="66"/>
      <c r="G62" s="66"/>
      <c r="H62" s="66"/>
      <c r="I62" s="66"/>
      <c r="J62" s="67"/>
      <c r="K62" s="66"/>
      <c r="L62" s="67"/>
      <c r="M62" s="67"/>
      <c r="N62" s="66"/>
      <c r="O62" s="62"/>
      <c r="P62" s="62"/>
      <c r="Q62" s="62"/>
      <c r="R62" s="62"/>
      <c r="S62" s="1"/>
      <c r="T62" s="1"/>
      <c r="U62" s="1"/>
      <c r="V62" s="1"/>
      <c r="W62" s="1"/>
      <c r="X62" s="1"/>
      <c r="Y62" s="1"/>
      <c r="Z62" s="3"/>
      <c r="AA62" s="3"/>
      <c r="AB62" s="3"/>
      <c r="AC62" s="3"/>
    </row>
    <row r="63" ht="12.75" customHeight="1">
      <c r="A63" s="1"/>
      <c r="B63" s="2" t="s">
        <v>77</v>
      </c>
      <c r="C63" s="69">
        <f>C61+C59+C53+C51+C55+C57</f>
        <v>34</v>
      </c>
      <c r="D63" s="67"/>
      <c r="E63" s="67"/>
      <c r="F63" s="70">
        <f>F61+F59+F53+F51+F55+F57</f>
        <v>26</v>
      </c>
      <c r="G63" s="9"/>
      <c r="H63" s="9"/>
      <c r="I63" s="10"/>
      <c r="J63" s="67"/>
      <c r="K63" s="69">
        <f>K61+K59+K53+K51+K55+K57</f>
        <v>17</v>
      </c>
      <c r="L63" s="67"/>
      <c r="M63" s="67"/>
      <c r="N63" s="69">
        <f>N61+N59+N53+N51+N55+N57</f>
        <v>14</v>
      </c>
      <c r="O63" s="62"/>
      <c r="P63" s="69">
        <f>P61+P59+P53+P51+P55+P57</f>
        <v>33</v>
      </c>
      <c r="Q63" s="62"/>
      <c r="R63" s="69">
        <f>R61+R59+R53+R51+R55+R57</f>
        <v>27</v>
      </c>
      <c r="S63" s="1"/>
      <c r="T63" s="1"/>
      <c r="U63" s="1"/>
      <c r="V63" s="1"/>
      <c r="W63" s="1"/>
      <c r="X63" s="1"/>
      <c r="Y63" s="1"/>
      <c r="Z63" s="3"/>
      <c r="AA63" s="3"/>
      <c r="AB63" s="3"/>
      <c r="AC63" s="3"/>
    </row>
    <row r="64" ht="12.75" customHeight="1">
      <c r="A64" s="1"/>
      <c r="B64" s="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2"/>
      <c r="P64" s="62"/>
      <c r="Q64" s="62"/>
      <c r="R64" s="62"/>
      <c r="S64" s="1"/>
      <c r="T64" s="1"/>
      <c r="U64" s="1"/>
      <c r="V64" s="1"/>
      <c r="W64" s="1"/>
      <c r="X64" s="1"/>
      <c r="Y64" s="1"/>
      <c r="Z64" s="3"/>
      <c r="AA64" s="3"/>
      <c r="AB64" s="3"/>
      <c r="AC64" s="3"/>
    </row>
    <row r="65" ht="12.75" customHeight="1">
      <c r="A65" s="1"/>
      <c r="B65" s="2" t="s">
        <v>78</v>
      </c>
      <c r="C65" s="61">
        <v>5.0</v>
      </c>
      <c r="D65" s="67"/>
      <c r="E65" s="67"/>
      <c r="F65" s="63">
        <v>6.0</v>
      </c>
      <c r="G65" s="9"/>
      <c r="H65" s="9"/>
      <c r="I65" s="10"/>
      <c r="J65" s="67"/>
      <c r="K65" s="61">
        <v>5.0</v>
      </c>
      <c r="L65" s="67"/>
      <c r="M65" s="67"/>
      <c r="N65" s="65">
        <v>0.3</v>
      </c>
      <c r="O65" s="62"/>
      <c r="P65" s="61">
        <v>3.0</v>
      </c>
      <c r="Q65" s="62"/>
      <c r="R65" s="61">
        <v>56.645</v>
      </c>
      <c r="S65" s="1"/>
      <c r="T65" s="1"/>
      <c r="U65" s="1"/>
      <c r="V65" s="1"/>
      <c r="W65" s="1"/>
      <c r="X65" s="1"/>
      <c r="Y65" s="1"/>
      <c r="Z65" s="3"/>
      <c r="AA65" s="3"/>
      <c r="AB65" s="3"/>
      <c r="AC65" s="3"/>
    </row>
    <row r="66" ht="6.0" customHeight="1">
      <c r="A66" s="1"/>
      <c r="B66" s="2"/>
      <c r="C66" s="68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2"/>
      <c r="P66" s="67"/>
      <c r="Q66" s="62"/>
      <c r="R66" s="67"/>
      <c r="S66" s="1"/>
      <c r="T66" s="1"/>
      <c r="U66" s="1"/>
      <c r="V66" s="1"/>
      <c r="W66" s="1"/>
      <c r="X66" s="1"/>
      <c r="Y66" s="1"/>
      <c r="Z66" s="3"/>
      <c r="AA66" s="3"/>
      <c r="AB66" s="3"/>
      <c r="AC66" s="3"/>
    </row>
    <row r="67" ht="12.75" customHeight="1">
      <c r="A67" s="1"/>
      <c r="B67" s="2" t="s">
        <v>79</v>
      </c>
      <c r="C67" s="61">
        <v>2.0</v>
      </c>
      <c r="D67" s="67"/>
      <c r="E67" s="67"/>
      <c r="F67" s="63">
        <v>4.0</v>
      </c>
      <c r="G67" s="9"/>
      <c r="H67" s="9"/>
      <c r="I67" s="10"/>
      <c r="J67" s="67"/>
      <c r="K67" s="61">
        <v>5.0</v>
      </c>
      <c r="L67" s="67"/>
      <c r="M67" s="67"/>
      <c r="N67" s="61">
        <v>3.0</v>
      </c>
      <c r="O67" s="62"/>
      <c r="P67" s="61">
        <v>4.0</v>
      </c>
      <c r="Q67" s="62"/>
      <c r="R67" s="61">
        <v>2.5445</v>
      </c>
      <c r="S67" s="1"/>
      <c r="T67" s="1"/>
      <c r="U67" s="1"/>
      <c r="V67" s="1"/>
      <c r="W67" s="1"/>
      <c r="X67" s="1"/>
      <c r="Y67" s="1"/>
      <c r="Z67" s="3"/>
      <c r="AA67" s="3"/>
      <c r="AB67" s="3"/>
      <c r="AC67" s="3"/>
    </row>
    <row r="68" ht="6.0" customHeight="1">
      <c r="A68" s="1"/>
      <c r="B68" s="2"/>
      <c r="C68" s="68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2"/>
      <c r="P68" s="62"/>
      <c r="Q68" s="62"/>
      <c r="R68" s="62"/>
      <c r="S68" s="1"/>
      <c r="T68" s="1"/>
      <c r="U68" s="1"/>
      <c r="V68" s="1"/>
      <c r="W68" s="1"/>
      <c r="X68" s="1"/>
      <c r="Y68" s="1"/>
      <c r="Z68" s="3"/>
      <c r="AA68" s="3"/>
      <c r="AB68" s="3"/>
      <c r="AC68" s="3"/>
    </row>
    <row r="69" ht="12.75" customHeight="1">
      <c r="A69" s="1"/>
      <c r="B69" s="2" t="s">
        <v>80</v>
      </c>
      <c r="C69" s="61">
        <v>2.0</v>
      </c>
      <c r="D69" s="66"/>
      <c r="E69" s="66"/>
      <c r="F69" s="63">
        <v>8.0</v>
      </c>
      <c r="G69" s="9"/>
      <c r="H69" s="9"/>
      <c r="I69" s="10"/>
      <c r="J69" s="66"/>
      <c r="K69" s="61">
        <v>3.0</v>
      </c>
      <c r="L69" s="66"/>
      <c r="M69" s="66"/>
      <c r="N69" s="61">
        <v>5.0</v>
      </c>
      <c r="O69" s="62"/>
      <c r="P69" s="61">
        <v>3.0</v>
      </c>
      <c r="Q69" s="62"/>
      <c r="R69" s="61">
        <v>6.544</v>
      </c>
      <c r="S69" s="1"/>
      <c r="T69" s="1"/>
      <c r="U69" s="1"/>
      <c r="V69" s="1"/>
      <c r="W69" s="1"/>
      <c r="X69" s="1"/>
      <c r="Y69" s="1"/>
      <c r="Z69" s="3"/>
      <c r="AA69" s="3"/>
      <c r="AB69" s="3"/>
      <c r="AC69" s="3"/>
    </row>
    <row r="70" ht="6.0" customHeight="1">
      <c r="A70" s="1"/>
      <c r="B70" s="2"/>
      <c r="C70" s="67"/>
      <c r="D70" s="62"/>
      <c r="E70" s="67"/>
      <c r="F70" s="67"/>
      <c r="G70" s="67"/>
      <c r="H70" s="67"/>
      <c r="I70" s="67"/>
      <c r="J70" s="67"/>
      <c r="K70" s="67"/>
      <c r="L70" s="67"/>
      <c r="M70" s="62"/>
      <c r="N70" s="67"/>
      <c r="O70" s="62"/>
      <c r="P70" s="67"/>
      <c r="Q70" s="62"/>
      <c r="R70" s="67"/>
      <c r="S70" s="1"/>
      <c r="T70" s="1"/>
      <c r="U70" s="1"/>
      <c r="V70" s="1"/>
      <c r="W70" s="1"/>
      <c r="X70" s="1"/>
      <c r="Y70" s="1"/>
      <c r="Z70" s="3"/>
      <c r="AA70" s="3"/>
      <c r="AB70" s="3"/>
      <c r="AC70" s="3"/>
    </row>
    <row r="71" ht="12.75" customHeight="1">
      <c r="A71" s="1"/>
      <c r="B71" s="2" t="s">
        <v>81</v>
      </c>
      <c r="C71" s="61">
        <v>1.0</v>
      </c>
      <c r="D71" s="66"/>
      <c r="E71" s="66"/>
      <c r="F71" s="63">
        <v>2.0</v>
      </c>
      <c r="G71" s="9"/>
      <c r="H71" s="9"/>
      <c r="I71" s="10"/>
      <c r="J71" s="66"/>
      <c r="K71" s="61">
        <v>4.0</v>
      </c>
      <c r="L71" s="66"/>
      <c r="M71" s="66"/>
      <c r="N71" s="61">
        <v>4.0</v>
      </c>
      <c r="O71" s="62"/>
      <c r="P71" s="61">
        <v>3.0</v>
      </c>
      <c r="Q71" s="62"/>
      <c r="R71" s="61">
        <v>4.457</v>
      </c>
      <c r="S71" s="1"/>
      <c r="T71" s="1"/>
      <c r="U71" s="1"/>
      <c r="V71" s="1"/>
      <c r="W71" s="1"/>
      <c r="X71" s="1"/>
      <c r="Y71" s="1"/>
      <c r="Z71" s="3"/>
      <c r="AA71" s="3"/>
      <c r="AB71" s="3"/>
      <c r="AC71" s="3"/>
    </row>
    <row r="72" ht="6.0" customHeight="1">
      <c r="A72" s="1"/>
      <c r="B72" s="2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2"/>
      <c r="P72" s="62"/>
      <c r="Q72" s="62"/>
      <c r="R72" s="62"/>
      <c r="S72" s="1"/>
      <c r="T72" s="1"/>
      <c r="U72" s="1"/>
      <c r="V72" s="1"/>
      <c r="W72" s="1"/>
      <c r="X72" s="1"/>
      <c r="Y72" s="1"/>
      <c r="Z72" s="3"/>
      <c r="AA72" s="3"/>
      <c r="AB72" s="3"/>
      <c r="AC72" s="3"/>
    </row>
    <row r="73" ht="12.75" customHeight="1">
      <c r="A73" s="1"/>
      <c r="B73" s="2" t="s">
        <v>82</v>
      </c>
      <c r="C73" s="61">
        <v>3.0</v>
      </c>
      <c r="D73" s="67"/>
      <c r="E73" s="67"/>
      <c r="F73" s="63">
        <v>1.0</v>
      </c>
      <c r="G73" s="9"/>
      <c r="H73" s="9"/>
      <c r="I73" s="10"/>
      <c r="J73" s="67"/>
      <c r="K73" s="61">
        <v>2.0</v>
      </c>
      <c r="L73" s="67"/>
      <c r="M73" s="67"/>
      <c r="N73" s="61">
        <v>3.0</v>
      </c>
      <c r="O73" s="62"/>
      <c r="P73" s="61">
        <v>0.255</v>
      </c>
      <c r="Q73" s="62"/>
      <c r="R73" s="61">
        <v>0.5421</v>
      </c>
      <c r="S73" s="1"/>
      <c r="T73" s="1"/>
      <c r="U73" s="1"/>
      <c r="V73" s="1"/>
      <c r="W73" s="1"/>
      <c r="X73" s="1"/>
      <c r="Y73" s="1"/>
      <c r="Z73" s="3"/>
      <c r="AA73" s="3"/>
      <c r="AB73" s="3"/>
      <c r="AC73" s="3"/>
    </row>
    <row r="74" ht="6.0" customHeight="1">
      <c r="A74" s="1"/>
      <c r="B74" s="2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2"/>
      <c r="P74" s="67"/>
      <c r="Q74" s="62"/>
      <c r="R74" s="67"/>
      <c r="S74" s="1"/>
      <c r="T74" s="1"/>
      <c r="U74" s="1"/>
      <c r="V74" s="1"/>
      <c r="W74" s="1"/>
      <c r="X74" s="1"/>
      <c r="Y74" s="1"/>
      <c r="Z74" s="3"/>
      <c r="AA74" s="3"/>
      <c r="AB74" s="3"/>
      <c r="AC74" s="3"/>
    </row>
    <row r="75" ht="12.75" customHeight="1">
      <c r="A75" s="1"/>
      <c r="B75" s="2" t="s">
        <v>83</v>
      </c>
      <c r="C75" s="61">
        <v>7.0</v>
      </c>
      <c r="D75" s="67"/>
      <c r="E75" s="67"/>
      <c r="F75" s="63">
        <v>4.0</v>
      </c>
      <c r="G75" s="9"/>
      <c r="H75" s="9"/>
      <c r="I75" s="10"/>
      <c r="J75" s="67"/>
      <c r="K75" s="61">
        <v>1.0</v>
      </c>
      <c r="L75" s="67"/>
      <c r="M75" s="67"/>
      <c r="N75" s="61">
        <v>7.0</v>
      </c>
      <c r="O75" s="62"/>
      <c r="P75" s="61">
        <v>4.454</v>
      </c>
      <c r="Q75" s="62"/>
      <c r="R75" s="61">
        <v>3.4545</v>
      </c>
      <c r="S75" s="1"/>
      <c r="T75" s="1"/>
      <c r="U75" s="1"/>
      <c r="V75" s="1"/>
      <c r="W75" s="1"/>
      <c r="X75" s="1"/>
      <c r="Y75" s="1"/>
      <c r="Z75" s="3"/>
      <c r="AA75" s="3"/>
      <c r="AB75" s="3"/>
      <c r="AC75" s="3"/>
    </row>
    <row r="76" ht="6.0" customHeight="1">
      <c r="A76" s="1"/>
      <c r="B76" s="2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2"/>
      <c r="P76" s="62"/>
      <c r="Q76" s="62"/>
      <c r="R76" s="62"/>
      <c r="S76" s="1"/>
      <c r="T76" s="1"/>
      <c r="U76" s="1"/>
      <c r="V76" s="1"/>
      <c r="W76" s="1"/>
      <c r="X76" s="1"/>
      <c r="Y76" s="1"/>
      <c r="Z76" s="3"/>
      <c r="AA76" s="3"/>
      <c r="AB76" s="3"/>
      <c r="AC76" s="3"/>
    </row>
    <row r="77" ht="12.75" customHeight="1">
      <c r="A77" s="1"/>
      <c r="B77" s="2" t="s">
        <v>84</v>
      </c>
      <c r="C77" s="69">
        <f>C75+C73+C67+C65+C69+C71</f>
        <v>20</v>
      </c>
      <c r="D77" s="67"/>
      <c r="E77" s="67"/>
      <c r="F77" s="70">
        <f>F75+F73+F67+F65+F69+F71</f>
        <v>25</v>
      </c>
      <c r="G77" s="9"/>
      <c r="H77" s="9"/>
      <c r="I77" s="10"/>
      <c r="J77" s="67"/>
      <c r="K77" s="69">
        <f>K75+K73+K67+K65+K69+K71</f>
        <v>20</v>
      </c>
      <c r="L77" s="67"/>
      <c r="M77" s="67"/>
      <c r="N77" s="69">
        <f>N75+N73+N67+N65+N69+N71</f>
        <v>22.3</v>
      </c>
      <c r="O77" s="62"/>
      <c r="P77" s="69">
        <f>P75+P73+P67+P65+P69+P71</f>
        <v>17.709</v>
      </c>
      <c r="Q77" s="62"/>
      <c r="R77" s="69">
        <f>R75+R73+R67+R65+R69+R71</f>
        <v>74.1871</v>
      </c>
      <c r="S77" s="1"/>
      <c r="T77" s="1"/>
      <c r="U77" s="1"/>
      <c r="V77" s="1"/>
      <c r="W77" s="1"/>
      <c r="X77" s="1"/>
      <c r="Y77" s="1"/>
      <c r="Z77" s="3"/>
      <c r="AA77" s="3"/>
      <c r="AB77" s="3"/>
      <c r="AC77" s="3"/>
    </row>
    <row r="78" ht="12.75" customHeight="1">
      <c r="A78" s="1"/>
      <c r="B78" s="2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2"/>
      <c r="P78" s="62"/>
      <c r="Q78" s="62"/>
      <c r="R78" s="62"/>
      <c r="S78" s="1"/>
      <c r="T78" s="1"/>
      <c r="U78" s="1"/>
      <c r="V78" s="1"/>
      <c r="W78" s="1"/>
      <c r="X78" s="1"/>
      <c r="Y78" s="1"/>
      <c r="Z78" s="1"/>
      <c r="AA78" s="3"/>
      <c r="AB78" s="3"/>
      <c r="AC78" s="3"/>
    </row>
    <row r="79" ht="13.5" customHeight="1">
      <c r="A79" s="1"/>
      <c r="B79" s="2" t="s">
        <v>85</v>
      </c>
      <c r="C79" s="69">
        <f>C49+C63+C77</f>
        <v>59</v>
      </c>
      <c r="D79" s="67"/>
      <c r="E79" s="67"/>
      <c r="F79" s="70">
        <f>F49+F63+F77</f>
        <v>59</v>
      </c>
      <c r="G79" s="9"/>
      <c r="H79" s="9"/>
      <c r="I79" s="10"/>
      <c r="J79" s="67"/>
      <c r="K79" s="69">
        <f>K49+K63+K77</f>
        <v>38</v>
      </c>
      <c r="L79" s="67"/>
      <c r="M79" s="67"/>
      <c r="N79" s="69">
        <f>N49+N63+N77</f>
        <v>39.3</v>
      </c>
      <c r="O79" s="62"/>
      <c r="P79" s="69">
        <f>P49+P63+P77</f>
        <v>58.709</v>
      </c>
      <c r="Q79" s="62"/>
      <c r="R79" s="69">
        <f>R49+R63+R77</f>
        <v>102.1871</v>
      </c>
      <c r="S79" s="1"/>
      <c r="T79" s="1"/>
      <c r="U79" s="1"/>
      <c r="V79" s="1"/>
      <c r="W79" s="1"/>
      <c r="X79" s="1"/>
      <c r="Y79" s="1"/>
      <c r="Z79" s="1"/>
      <c r="AA79" s="3"/>
      <c r="AB79" s="3"/>
      <c r="AC79" s="3"/>
    </row>
    <row r="80" ht="15.0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  <c r="AC80" s="3"/>
    </row>
    <row r="81" ht="15.0" customHeight="1">
      <c r="A81" s="1"/>
      <c r="B81" s="51" t="s">
        <v>86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  <c r="AC81" s="3"/>
    </row>
    <row r="82" ht="15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  <c r="AC82" s="3"/>
    </row>
    <row r="83" ht="15.0" customHeight="1">
      <c r="A83" s="1"/>
      <c r="B83" s="2" t="s">
        <v>87</v>
      </c>
      <c r="C83" s="61">
        <v>2.5464</v>
      </c>
      <c r="D83" s="71" t="s">
        <v>88</v>
      </c>
      <c r="E83" s="55"/>
      <c r="F83" s="55"/>
      <c r="G83" s="55"/>
      <c r="H83" s="63">
        <v>7.45454</v>
      </c>
      <c r="I83" s="10"/>
      <c r="J83" s="1"/>
      <c r="K83" s="1" t="s">
        <v>89</v>
      </c>
      <c r="L83" s="2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  <c r="AC83" s="3"/>
    </row>
    <row r="84" ht="15.0" customHeight="1">
      <c r="A84" s="1"/>
      <c r="B84" s="2" t="s">
        <v>90</v>
      </c>
      <c r="C84" s="61">
        <v>34.5754</v>
      </c>
      <c r="D84" s="71" t="s">
        <v>91</v>
      </c>
      <c r="E84" s="55"/>
      <c r="F84" s="55"/>
      <c r="G84" s="55"/>
      <c r="H84" s="72">
        <v>23.3</v>
      </c>
      <c r="I84" s="10"/>
      <c r="J84" s="1" t="s">
        <v>89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  <c r="AC84" s="3"/>
    </row>
    <row r="85" ht="15.0" customHeight="1">
      <c r="A85" s="1"/>
      <c r="B85" s="2"/>
      <c r="C85" s="53"/>
      <c r="D85" s="53"/>
      <c r="E85" s="53"/>
      <c r="F85" s="53"/>
      <c r="G85" s="5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  <c r="AC85" s="3"/>
    </row>
    <row r="86" ht="15.0" customHeight="1">
      <c r="A86" s="1"/>
      <c r="B86" s="73" t="s">
        <v>92</v>
      </c>
      <c r="C86" s="42" t="s">
        <v>93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  <c r="AC86" s="3"/>
    </row>
    <row r="87" ht="12.75" customHeight="1">
      <c r="A87" s="1"/>
      <c r="B87" s="74"/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5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  <c r="AC87" s="3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  <c r="AC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  <c r="AC89" s="3"/>
    </row>
    <row r="90" ht="12.75" hidden="1" customHeight="1">
      <c r="A90" s="1"/>
      <c r="B90" s="2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  <c r="AC90" s="3"/>
    </row>
    <row r="91" ht="12.75" hidden="1" customHeight="1">
      <c r="A91" s="3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  <c r="AC91" s="3"/>
    </row>
    <row r="92" ht="12.75" hidden="1" customHeight="1">
      <c r="A92" s="3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  <c r="AC92" s="3"/>
    </row>
    <row r="93" ht="12.75" hidden="1" customHeight="1">
      <c r="A93" s="3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  <c r="AC93" s="3"/>
    </row>
    <row r="94" ht="12.75" hidden="1" customHeight="1">
      <c r="A94" s="3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  <c r="AC94" s="3"/>
    </row>
    <row r="95" ht="12.75" hidden="1" customHeight="1">
      <c r="A95" s="3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  <c r="AC95" s="3"/>
    </row>
    <row r="96" ht="12.75" hidden="1" customHeight="1">
      <c r="A96" s="3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  <c r="AC96" s="3"/>
    </row>
    <row r="97" ht="12.75" hidden="1" customHeight="1">
      <c r="A97" s="3"/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  <c r="AC97" s="3"/>
    </row>
    <row r="98" ht="12.75" hidden="1" customHeight="1">
      <c r="A98" s="3"/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  <c r="AC98" s="3"/>
    </row>
    <row r="99" ht="12.75" hidden="1" customHeight="1">
      <c r="A99" s="3"/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  <c r="AC99" s="3"/>
    </row>
    <row r="100" ht="12.75" hidden="1" customHeight="1">
      <c r="A100" s="3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  <c r="AC100" s="3"/>
    </row>
    <row r="101" ht="12.75" hidden="1" customHeight="1">
      <c r="A101" s="3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  <c r="AC101" s="3"/>
    </row>
    <row r="102" ht="12.75" hidden="1" customHeight="1">
      <c r="A102" s="3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  <c r="AC102" s="3"/>
    </row>
    <row r="103" ht="12.75" hidden="1" customHeight="1">
      <c r="A103" s="3"/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  <c r="AC103" s="3"/>
    </row>
    <row r="104" ht="12.75" hidden="1" customHeight="1">
      <c r="A104" s="3"/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  <c r="AC104" s="3"/>
    </row>
    <row r="105" ht="12.75" hidden="1" customHeight="1">
      <c r="A105" s="3"/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  <c r="AC105" s="3"/>
    </row>
    <row r="106" ht="12.75" hidden="1" customHeight="1">
      <c r="A106" s="3"/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  <c r="AC106" s="3"/>
    </row>
    <row r="107" ht="12.75" hidden="1" customHeight="1">
      <c r="A107" s="3"/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  <c r="AC107" s="3"/>
    </row>
    <row r="108" ht="12.75" hidden="1" customHeight="1">
      <c r="A108" s="3"/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  <c r="AC108" s="3"/>
    </row>
    <row r="109" ht="12.75" hidden="1" customHeight="1">
      <c r="A109" s="3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  <c r="AC109" s="3"/>
    </row>
    <row r="110" ht="12.75" hidden="1" customHeight="1">
      <c r="A110" s="3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  <c r="AC110" s="3"/>
    </row>
    <row r="111" ht="12.75" hidden="1" customHeight="1">
      <c r="A111" s="3"/>
      <c r="S111" s="1"/>
      <c r="T111" s="1"/>
      <c r="U111" s="1"/>
      <c r="V111" s="1"/>
      <c r="W111" s="1"/>
      <c r="X111" s="1"/>
      <c r="Y111" s="1"/>
      <c r="Z111" s="1"/>
      <c r="AA111" s="3"/>
      <c r="AB111" s="3"/>
      <c r="AC111" s="3"/>
    </row>
    <row r="112" ht="12.75" hidden="1" customHeight="1">
      <c r="A112" s="3"/>
      <c r="S112" s="1"/>
      <c r="T112" s="1"/>
      <c r="U112" s="1"/>
      <c r="V112" s="1"/>
      <c r="W112" s="1"/>
      <c r="X112" s="1"/>
      <c r="Y112" s="1"/>
      <c r="Z112" s="1"/>
      <c r="AA112" s="3"/>
      <c r="AB112" s="3"/>
      <c r="AC112" s="3"/>
    </row>
    <row r="113" ht="12.75" hidden="1" customHeight="1">
      <c r="A113" s="3"/>
      <c r="S113" s="1"/>
      <c r="T113" s="1"/>
      <c r="U113" s="1"/>
      <c r="V113" s="1"/>
      <c r="W113" s="1"/>
      <c r="X113" s="1"/>
      <c r="Y113" s="1"/>
      <c r="Z113" s="1"/>
      <c r="AA113" s="3"/>
      <c r="AB113" s="3"/>
      <c r="AC113" s="3"/>
    </row>
    <row r="114" ht="12.75" hidden="1" customHeight="1">
      <c r="A114" s="3"/>
      <c r="S114" s="1"/>
      <c r="T114" s="1"/>
      <c r="U114" s="1"/>
      <c r="V114" s="1"/>
      <c r="W114" s="1"/>
      <c r="X114" s="1"/>
      <c r="Y114" s="1"/>
      <c r="Z114" s="1"/>
      <c r="AA114" s="3"/>
      <c r="AB114" s="3"/>
      <c r="AC114" s="3"/>
    </row>
    <row r="115" ht="12.75" customHeight="1">
      <c r="A115" s="3"/>
      <c r="B115" s="76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2.75" customHeight="1">
      <c r="A116" s="3"/>
      <c r="B116" s="76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2.75" customHeight="1">
      <c r="A117" s="3"/>
      <c r="B117" s="76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2.75" customHeight="1">
      <c r="A118" s="3"/>
      <c r="B118" s="76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2.75" customHeight="1">
      <c r="A119" s="3"/>
      <c r="B119" s="76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2.75" customHeight="1">
      <c r="A120" s="3"/>
      <c r="B120" s="76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2.75" customHeight="1">
      <c r="A121" s="3"/>
      <c r="B121" s="76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2.75" customHeight="1">
      <c r="A122" s="3"/>
      <c r="B122" s="76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2.75" customHeight="1">
      <c r="A123" s="3"/>
      <c r="B123" s="76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2.75" customHeight="1">
      <c r="A124" s="3"/>
      <c r="B124" s="76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2.75" customHeight="1">
      <c r="A125" s="3"/>
      <c r="B125" s="76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2.75" customHeight="1">
      <c r="A126" s="3"/>
      <c r="B126" s="76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2.75" customHeight="1">
      <c r="A127" s="3"/>
      <c r="B127" s="76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2.75" customHeight="1">
      <c r="A128" s="3"/>
      <c r="B128" s="76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2.75" customHeight="1">
      <c r="A129" s="3"/>
      <c r="B129" s="76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2.75" customHeight="1">
      <c r="A130" s="3"/>
      <c r="B130" s="7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2.75" customHeight="1">
      <c r="A131" s="3"/>
      <c r="B131" s="76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2.75" customHeight="1">
      <c r="A132" s="3"/>
      <c r="B132" s="76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2.75" customHeight="1">
      <c r="A133" s="3"/>
      <c r="B133" s="76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2.75" customHeight="1">
      <c r="A134" s="3"/>
      <c r="B134" s="76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2.75" customHeight="1">
      <c r="A135" s="3"/>
      <c r="B135" s="76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2.75" customHeight="1">
      <c r="A136" s="3"/>
      <c r="B136" s="76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2.75" customHeight="1">
      <c r="A137" s="3"/>
      <c r="B137" s="76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2.75" customHeight="1">
      <c r="A138" s="3"/>
      <c r="B138" s="76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2.75" customHeight="1">
      <c r="A139" s="3"/>
      <c r="B139" s="76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2.75" customHeight="1">
      <c r="A140" s="3"/>
      <c r="B140" s="76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2.75" customHeight="1">
      <c r="A141" s="3"/>
      <c r="B141" s="76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2.75" customHeight="1">
      <c r="A142" s="3"/>
      <c r="B142" s="76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2.75" customHeight="1">
      <c r="A143" s="3"/>
      <c r="B143" s="76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2.75" customHeight="1">
      <c r="A144" s="3"/>
      <c r="B144" s="76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2.75" customHeight="1">
      <c r="A145" s="3"/>
      <c r="B145" s="76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2.75" customHeight="1">
      <c r="A146" s="3"/>
      <c r="B146" s="76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2.75" customHeight="1">
      <c r="A147" s="3"/>
      <c r="B147" s="76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2.75" customHeight="1">
      <c r="A148" s="3"/>
      <c r="B148" s="76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2.75" customHeight="1">
      <c r="A149" s="3"/>
      <c r="B149" s="76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2.75" customHeight="1">
      <c r="A150" s="3"/>
      <c r="B150" s="76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2.75" customHeight="1">
      <c r="A151" s="3"/>
      <c r="B151" s="76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2.75" customHeight="1">
      <c r="A152" s="3"/>
      <c r="B152" s="76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2.75" customHeight="1">
      <c r="A153" s="3"/>
      <c r="B153" s="76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2.75" customHeight="1">
      <c r="A154" s="3"/>
      <c r="B154" s="76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2.75" customHeight="1">
      <c r="A155" s="3"/>
      <c r="B155" s="76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2.75" customHeight="1">
      <c r="A156" s="3"/>
      <c r="B156" s="76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2.75" customHeight="1">
      <c r="A157" s="3"/>
      <c r="B157" s="76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2.75" customHeight="1">
      <c r="A158" s="3"/>
      <c r="B158" s="76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2.75" customHeight="1">
      <c r="A159" s="3"/>
      <c r="B159" s="76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2.75" customHeight="1">
      <c r="A160" s="3"/>
      <c r="B160" s="76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2.75" customHeight="1">
      <c r="A161" s="3"/>
      <c r="B161" s="76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2.75" customHeight="1">
      <c r="A162" s="3"/>
      <c r="B162" s="76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2.75" customHeight="1">
      <c r="A163" s="3"/>
      <c r="B163" s="76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2.75" customHeight="1">
      <c r="A164" s="3"/>
      <c r="B164" s="76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2.75" customHeight="1">
      <c r="A165" s="3"/>
      <c r="B165" s="76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2.75" customHeight="1">
      <c r="A166" s="3"/>
      <c r="B166" s="76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2.75" customHeight="1">
      <c r="A167" s="3"/>
      <c r="B167" s="76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2.75" customHeight="1">
      <c r="A168" s="3"/>
      <c r="B168" s="76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2.75" customHeight="1">
      <c r="A169" s="3"/>
      <c r="B169" s="76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2.75" customHeight="1">
      <c r="A170" s="3"/>
      <c r="B170" s="76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2.75" customHeight="1">
      <c r="A171" s="3"/>
      <c r="B171" s="76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2.75" customHeight="1">
      <c r="A172" s="3"/>
      <c r="B172" s="76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2.75" customHeight="1">
      <c r="A173" s="3"/>
      <c r="B173" s="76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2.75" customHeight="1">
      <c r="A174" s="3"/>
      <c r="B174" s="76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2.75" customHeight="1">
      <c r="A175" s="3"/>
      <c r="B175" s="76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2.75" customHeight="1">
      <c r="A176" s="3"/>
      <c r="B176" s="76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2.75" customHeight="1">
      <c r="A177" s="3"/>
      <c r="B177" s="76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2.75" customHeight="1">
      <c r="A178" s="3"/>
      <c r="B178" s="76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2.75" customHeight="1">
      <c r="A179" s="3"/>
      <c r="B179" s="76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2.75" customHeight="1">
      <c r="A180" s="3"/>
      <c r="B180" s="76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2.75" customHeight="1">
      <c r="A181" s="3"/>
      <c r="B181" s="76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2.75" customHeight="1">
      <c r="A182" s="3"/>
      <c r="B182" s="76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2.75" customHeight="1">
      <c r="A183" s="3"/>
      <c r="B183" s="76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2.75" customHeight="1">
      <c r="A184" s="3"/>
      <c r="B184" s="76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2.75" customHeight="1">
      <c r="A185" s="3"/>
      <c r="B185" s="76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2.75" customHeight="1">
      <c r="A186" s="3"/>
      <c r="B186" s="76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2.75" customHeight="1">
      <c r="A187" s="3"/>
      <c r="B187" s="76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2.75" customHeight="1">
      <c r="A188" s="3"/>
      <c r="B188" s="76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2.75" customHeight="1">
      <c r="A189" s="3"/>
      <c r="B189" s="76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2.75" customHeight="1">
      <c r="A190" s="3"/>
      <c r="B190" s="76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2.75" customHeight="1">
      <c r="A191" s="3"/>
      <c r="B191" s="76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2.75" customHeight="1">
      <c r="A192" s="3"/>
      <c r="B192" s="76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2.75" customHeight="1">
      <c r="A193" s="3"/>
      <c r="B193" s="76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2.75" customHeight="1">
      <c r="A194" s="3"/>
      <c r="B194" s="76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2.75" customHeight="1">
      <c r="A195" s="3"/>
      <c r="B195" s="76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2.75" customHeight="1">
      <c r="A196" s="3"/>
      <c r="B196" s="76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2.75" customHeight="1">
      <c r="A197" s="3"/>
      <c r="B197" s="76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2.75" customHeight="1">
      <c r="A198" s="3"/>
      <c r="B198" s="76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2.75" customHeight="1">
      <c r="A199" s="3"/>
      <c r="B199" s="76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2.75" customHeight="1">
      <c r="A200" s="3"/>
      <c r="B200" s="76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2.75" customHeight="1">
      <c r="A201" s="3"/>
      <c r="B201" s="76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2.75" customHeight="1">
      <c r="A202" s="3"/>
      <c r="B202" s="76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2.75" customHeight="1">
      <c r="A203" s="3"/>
      <c r="B203" s="76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2.75" customHeight="1">
      <c r="A204" s="3"/>
      <c r="B204" s="76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2.75" customHeight="1">
      <c r="A205" s="3"/>
      <c r="B205" s="76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2.75" customHeight="1">
      <c r="A206" s="3"/>
      <c r="B206" s="76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2.75" customHeight="1">
      <c r="A207" s="3"/>
      <c r="B207" s="76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2.75" customHeight="1">
      <c r="A208" s="3"/>
      <c r="B208" s="76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2.75" customHeight="1">
      <c r="A209" s="3"/>
      <c r="B209" s="76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2.75" customHeight="1">
      <c r="A210" s="3"/>
      <c r="B210" s="76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2.75" customHeight="1">
      <c r="A211" s="3"/>
      <c r="B211" s="76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2.75" customHeight="1">
      <c r="A212" s="3"/>
      <c r="B212" s="76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2.75" customHeight="1">
      <c r="A213" s="3"/>
      <c r="B213" s="76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2.75" customHeight="1">
      <c r="A214" s="3"/>
      <c r="B214" s="76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2.75" customHeight="1">
      <c r="A215" s="3"/>
      <c r="B215" s="76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2.75" customHeight="1">
      <c r="A216" s="3"/>
      <c r="B216" s="76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2.75" customHeight="1">
      <c r="A217" s="3"/>
      <c r="B217" s="76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2.75" customHeight="1">
      <c r="A218" s="3"/>
      <c r="B218" s="76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2.75" customHeight="1">
      <c r="A219" s="3"/>
      <c r="B219" s="76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2.75" customHeight="1">
      <c r="A220" s="3"/>
      <c r="B220" s="76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2.75" customHeight="1">
      <c r="A221" s="3"/>
      <c r="B221" s="76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2.75" customHeight="1">
      <c r="A222" s="3"/>
      <c r="B222" s="76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2.75" customHeight="1">
      <c r="A223" s="3"/>
      <c r="B223" s="76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2.75" customHeight="1">
      <c r="A224" s="3"/>
      <c r="B224" s="76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2.75" customHeight="1">
      <c r="A225" s="3"/>
      <c r="B225" s="76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2.75" customHeight="1">
      <c r="A226" s="3"/>
      <c r="B226" s="76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2.75" customHeight="1">
      <c r="A227" s="3"/>
      <c r="B227" s="76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2.75" customHeight="1">
      <c r="A228" s="3"/>
      <c r="B228" s="76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2.75" customHeight="1">
      <c r="A229" s="3"/>
      <c r="B229" s="76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2.75" customHeight="1">
      <c r="A230" s="3"/>
      <c r="B230" s="76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2.75" customHeight="1">
      <c r="A231" s="3"/>
      <c r="B231" s="76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2.75" customHeight="1">
      <c r="A232" s="3"/>
      <c r="B232" s="76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2.75" customHeight="1">
      <c r="A233" s="3"/>
      <c r="B233" s="76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2.75" customHeight="1">
      <c r="A234" s="3"/>
      <c r="B234" s="76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2.75" customHeight="1">
      <c r="A235" s="3"/>
      <c r="B235" s="76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2.75" customHeight="1">
      <c r="A236" s="3"/>
      <c r="B236" s="76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2.75" customHeight="1">
      <c r="A237" s="3"/>
      <c r="B237" s="76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2.75" customHeight="1">
      <c r="A238" s="3"/>
      <c r="B238" s="76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2.75" customHeight="1">
      <c r="A239" s="3"/>
      <c r="B239" s="76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2.75" customHeight="1">
      <c r="A240" s="3"/>
      <c r="B240" s="76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2.75" customHeight="1">
      <c r="A241" s="3"/>
      <c r="B241" s="76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2.75" customHeight="1">
      <c r="A242" s="3"/>
      <c r="B242" s="76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2.75" customHeight="1">
      <c r="A243" s="3"/>
      <c r="B243" s="76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2.75" customHeight="1">
      <c r="A244" s="3"/>
      <c r="B244" s="76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2.75" customHeight="1">
      <c r="A245" s="3"/>
      <c r="B245" s="76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2.75" customHeight="1">
      <c r="A246" s="3"/>
      <c r="B246" s="76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2.75" customHeight="1">
      <c r="A247" s="3"/>
      <c r="B247" s="76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2.75" customHeight="1">
      <c r="A248" s="3"/>
      <c r="B248" s="76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2.75" customHeight="1">
      <c r="A249" s="3"/>
      <c r="B249" s="76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2.75" customHeight="1">
      <c r="A250" s="3"/>
      <c r="B250" s="76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2.75" customHeight="1">
      <c r="A251" s="3"/>
      <c r="B251" s="76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2.75" customHeight="1">
      <c r="A252" s="3"/>
      <c r="B252" s="76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2.75" customHeight="1">
      <c r="A253" s="3"/>
      <c r="B253" s="76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2.75" customHeight="1">
      <c r="A254" s="3"/>
      <c r="B254" s="76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2.75" customHeight="1">
      <c r="A255" s="3"/>
      <c r="B255" s="76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2.75" customHeight="1">
      <c r="A256" s="3"/>
      <c r="B256" s="76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2.75" customHeight="1">
      <c r="A257" s="3"/>
      <c r="B257" s="76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2.75" customHeight="1">
      <c r="A258" s="3"/>
      <c r="B258" s="76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2.75" customHeight="1">
      <c r="A259" s="3"/>
      <c r="B259" s="76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2.75" customHeight="1">
      <c r="A260" s="3"/>
      <c r="B260" s="76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2.75" customHeight="1">
      <c r="A261" s="3"/>
      <c r="B261" s="76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2.75" customHeight="1">
      <c r="A262" s="3"/>
      <c r="B262" s="76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2.75" customHeight="1">
      <c r="A263" s="3"/>
      <c r="B263" s="76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2.75" customHeight="1">
      <c r="A264" s="3"/>
      <c r="B264" s="76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2.75" customHeight="1">
      <c r="A265" s="3"/>
      <c r="B265" s="76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2.75" customHeight="1">
      <c r="A266" s="3"/>
      <c r="B266" s="76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2.75" customHeight="1">
      <c r="A267" s="3"/>
      <c r="B267" s="76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2.75" customHeight="1">
      <c r="A268" s="3"/>
      <c r="B268" s="76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2.75" customHeight="1">
      <c r="A269" s="3"/>
      <c r="B269" s="76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2.75" customHeight="1">
      <c r="A270" s="3"/>
      <c r="B270" s="76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2.75" customHeight="1">
      <c r="A271" s="3"/>
      <c r="B271" s="76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2.75" customHeight="1">
      <c r="A272" s="3"/>
      <c r="B272" s="76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2.75" customHeight="1">
      <c r="A273" s="3"/>
      <c r="B273" s="76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2.75" customHeight="1">
      <c r="A274" s="3"/>
      <c r="B274" s="76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2.75" customHeight="1">
      <c r="A275" s="3"/>
      <c r="B275" s="76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2.75" customHeight="1">
      <c r="A276" s="3"/>
      <c r="B276" s="76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2.75" customHeight="1">
      <c r="A277" s="3"/>
      <c r="B277" s="76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2.75" customHeight="1">
      <c r="A278" s="3"/>
      <c r="B278" s="76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2.75" customHeight="1">
      <c r="A279" s="3"/>
      <c r="B279" s="76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2.75" customHeight="1">
      <c r="A280" s="3"/>
      <c r="B280" s="76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2.75" customHeight="1">
      <c r="A281" s="3"/>
      <c r="B281" s="76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2.75" customHeight="1">
      <c r="A282" s="3"/>
      <c r="B282" s="76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2.75" customHeight="1">
      <c r="A283" s="3"/>
      <c r="B283" s="76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2.75" customHeight="1">
      <c r="A284" s="3"/>
      <c r="B284" s="76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2.75" customHeight="1">
      <c r="A285" s="3"/>
      <c r="B285" s="76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2.75" customHeight="1">
      <c r="A286" s="3"/>
      <c r="B286" s="76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C5:L5"/>
    <mergeCell ref="C6:L6"/>
    <mergeCell ref="D7:L7"/>
    <mergeCell ref="O7:S7"/>
    <mergeCell ref="D8:L8"/>
    <mergeCell ref="O8:S8"/>
    <mergeCell ref="V8:X8"/>
    <mergeCell ref="D9:L9"/>
    <mergeCell ref="F11:I11"/>
    <mergeCell ref="D14:L14"/>
    <mergeCell ref="O14:S14"/>
    <mergeCell ref="V14:X14"/>
    <mergeCell ref="D15:L15"/>
    <mergeCell ref="H24:I24"/>
    <mergeCell ref="B26:B28"/>
    <mergeCell ref="C26:Q28"/>
    <mergeCell ref="F30:I30"/>
    <mergeCell ref="F37:I37"/>
    <mergeCell ref="F38:I38"/>
    <mergeCell ref="F39:I39"/>
    <mergeCell ref="F41:I41"/>
    <mergeCell ref="F43:I43"/>
    <mergeCell ref="F47:I47"/>
    <mergeCell ref="F49:I49"/>
    <mergeCell ref="F51:I51"/>
    <mergeCell ref="F53:I53"/>
    <mergeCell ref="F55:I55"/>
    <mergeCell ref="F57:I57"/>
    <mergeCell ref="F59:I59"/>
    <mergeCell ref="F61:I61"/>
    <mergeCell ref="F63:I63"/>
    <mergeCell ref="F65:I65"/>
    <mergeCell ref="F67:I67"/>
    <mergeCell ref="F69:I69"/>
    <mergeCell ref="F71:I71"/>
    <mergeCell ref="D84:G84"/>
    <mergeCell ref="B86:B87"/>
    <mergeCell ref="C86:N87"/>
    <mergeCell ref="F73:I73"/>
    <mergeCell ref="F75:I75"/>
    <mergeCell ref="F77:I77"/>
    <mergeCell ref="F79:I79"/>
    <mergeCell ref="D83:G83"/>
    <mergeCell ref="H83:I83"/>
    <mergeCell ref="H84:I84"/>
  </mergeCells>
  <dataValidations>
    <dataValidation type="decimal" allowBlank="1" showInputMessage="1" showErrorMessage="1" prompt="Standard Boiler MGO - Enter standard boiler MGO consumption" sqref="K65">
      <formula1>0.0</formula1>
      <formula2>9.9999999999999E13</formula2>
    </dataValidation>
    <dataValidation type="decimal" allowBlank="1" showInputMessage="1" showErrorMessage="1" prompt="Ballast Water &amp; Other Boiler LFO - Enter ballast water &amp; others boiler LFO consumption" sqref="F64:I64">
      <formula1>0.0</formula1>
      <formula2>9.9999999999999E13</formula2>
    </dataValidation>
    <dataValidation type="decimal" allowBlank="1" showInputMessage="1" showErrorMessage="1" prompt="Cargo Loading A/E LGO - Enter cargo loading A/E LGO consumption" sqref="N55">
      <formula1>0.0</formula1>
      <formula2>9.9999999999999E13</formula2>
    </dataValidation>
    <dataValidation type="decimal" allowBlank="1" showInputMessage="1" showErrorMessage="1" prompt="LFO Bunker Survey/De-Bunkering - Enter amount of LFO adjustment for Bunker Survey/De-Bunkering, positive or negative" sqref="N43">
      <formula1>0.0</formula1>
      <formula2>9.9999999999E10</formula2>
    </dataValidation>
    <dataValidation type="decimal" operator="greaterThanOrEqual" allowBlank="1" showInputMessage="1" showErrorMessage="1" prompt="Cargo Loading Hours - Enter the cargo loading operational hours" sqref="H83">
      <formula1>0.0</formula1>
    </dataValidation>
    <dataValidation type="decimal" allowBlank="1" showInputMessage="1" showErrorMessage="1" prompt="Cargo Cooling Boiler LGO - Enter cargo cooling boiler LGO consumption" sqref="N67">
      <formula1>0.0</formula1>
      <formula2>9.9999999999999E13</formula2>
    </dataValidation>
    <dataValidation type="decimal" allowBlank="1" showInputMessage="1" showErrorMessage="1" prompt="MGO Bunker Survey/De-Bunkering - Enter amount of MGO adjustment for Bunker Survey/De-Bunkering, positive or negative" sqref="K41 K43">
      <formula1>0.0</formula1>
      <formula2>9.9999999999E10</formula2>
    </dataValidation>
    <dataValidation type="decimal" allowBlank="1" showInputMessage="1" showErrorMessage="1" prompt="Cargo Discharge - Enter the cargo discharged in MT" sqref="J24">
      <formula1>0.0</formula1>
      <formula2>9.99999999E8</formula2>
    </dataValidation>
    <dataValidation type="decimal" operator="greaterThanOrEqual" allowBlank="1" showInputMessage="1" showErrorMessage="1" prompt="AE No3 Running Hours - Enter the running hours for AE No3 for the current report period" sqref="H32">
      <formula1>0.0</formula1>
    </dataValidation>
    <dataValidation type="decimal" allowBlank="1" showInputMessage="1" showErrorMessage="1" prompt="Draft Aft - Enter draft aft in m" sqref="J19">
      <formula1>0.0</formula1>
      <formula2>30.0</formula2>
    </dataValidation>
    <dataValidation type="decimal" allowBlank="1" showInputMessage="1" showErrorMessage="1" prompt="Other Boiler LIFO - Enter other boiler LIFO consumption" sqref="P75">
      <formula1>0.0</formula1>
      <formula2>9.9999999999999E13</formula2>
    </dataValidation>
    <dataValidation type="list" allowBlank="1" showInputMessage="1" showErrorMessage="1" prompt="ETD - Select UTC offset in ±hh:mm from drop down list" sqref="V14">
      <formula1>UtcOffsetList</formula1>
    </dataValidation>
    <dataValidation type="decimal" allowBlank="1" showInputMessage="1" showErrorMessage="1" prompt="Total Cargo On Board - Enter the total cargo on board in MT" sqref="C23">
      <formula1>0.0</formula1>
      <formula2>9.9999999E7</formula2>
    </dataValidation>
    <dataValidation type="decimal" allowBlank="1" showInputMessage="1" showErrorMessage="1" prompt="Standard Boiler LIFO - Enter standard boiler LIFO consumption" sqref="P65">
      <formula1>0.0</formula1>
      <formula2>9.9999999999999E13</formula2>
    </dataValidation>
    <dataValidation type="decimal" allowBlank="1" showInputMessage="1" showErrorMessage="1" prompt="Cargo Cooling Boiler LLFO - Enter cargo cooling boiler LLFO consumption" sqref="R67">
      <formula1>0.0</formula1>
      <formula2>9.9999999999999E13</formula2>
    </dataValidation>
    <dataValidation type="decimal" allowBlank="1" showInputMessage="1" showErrorMessage="1" prompt="Cargo Discharging Boiler MGO - Enter cargo discharging boiler MGO consumption" sqref="K71">
      <formula1>0.0</formula1>
      <formula2>9.9999999999999E13</formula2>
    </dataValidation>
    <dataValidation type="decimal" allowBlank="1" showInputMessage="1" showErrorMessage="1" prompt="Cargo Cooling A/E LLFO - Enter cargo cooling A/E LLFO consumption" sqref="R53">
      <formula1>0.0</formula1>
      <formula2>9.9999999999999E13</formula2>
    </dataValidation>
    <dataValidation type="decimal" allowBlank="1" showInputMessage="1" showErrorMessage="1" prompt="HIFO ROB - Enter HIFO ROB" sqref="C43">
      <formula1>0.0</formula1>
      <formula2>9.9999999999E10</formula2>
    </dataValidation>
    <dataValidation type="custom" allowBlank="1" showInputMessage="1" showErrorMessage="1" prompt="ETD - Enter Time hh:mm" sqref="O14">
      <formula1>AND(GTE(O14,MIN((0),(0.999305555555556))),LTE(O14,MAX((0),(0.999305555555556))))</formula1>
    </dataValidation>
    <dataValidation type="decimal" allowBlank="1" showInputMessage="1" showErrorMessage="1" prompt="Cargo Loading Boiler LLFO - Enter cargo loading boiler LLFO consumption" sqref="R55 R69">
      <formula1>0.0</formula1>
      <formula2>9.9999999999999E13</formula2>
    </dataValidation>
    <dataValidation type="decimal" operator="greaterThan" allowBlank="1" showInputMessage="1" showErrorMessage="1" prompt="Enter Date - Enter in the format dd/mm/yyyy" sqref="D8">
      <formula1>32874.0</formula1>
    </dataValidation>
    <dataValidation type="decimal" allowBlank="1" showInputMessage="1" showErrorMessage="1" prompt="Tank Cleaning Boiler LGO - Enter tank cleaning boiler LGO consumption" sqref="V107">
      <formula1>0.0</formula1>
      <formula2>9.9999999999999E13</formula2>
    </dataValidation>
    <dataValidation type="decimal" allowBlank="1" showInputMessage="1" showErrorMessage="1" prompt="Cargo Cooling A/E LIFO - Enter cargo cooling A/E LIFO consumption" sqref="P53">
      <formula1>0.0</formula1>
      <formula2>9.9999999999999E13</formula2>
    </dataValidation>
    <dataValidation type="decimal" allowBlank="1" showInputMessage="1" showErrorMessage="1" prompt="MGO Bunker Supplied - Enter amount of MGO supplied" sqref="K39">
      <formula1>0.0</formula1>
      <formula2>9.9999999999E10</formula2>
    </dataValidation>
    <dataValidation type="list" allowBlank="1" showInputMessage="1" showErrorMessage="1" prompt="North or South - Select N or S" sqref="M11">
      <formula1>"N,S"</formula1>
    </dataValidation>
    <dataValidation type="decimal" operator="greaterThanOrEqual" allowBlank="1" showInputMessage="1" showErrorMessage="1" prompt="AE No1 Running Hours - Enter the running hours for AE No1 for the current report period" sqref="F32">
      <formula1>0.0</formula1>
    </dataValidation>
    <dataValidation type="decimal" allowBlank="1" showInputMessage="1" showErrorMessage="1" prompt="Cargo Discharging A/E MGO - Enter cargo discharging A/E MGO consumption" sqref="K57">
      <formula1>0.0</formula1>
      <formula2>9.9999999999999E13</formula2>
    </dataValidation>
    <dataValidation type="decimal" allowBlank="1" showInputMessage="1" showErrorMessage="1" prompt="Standard Boiler LLFO - Enter standard boiler LLFO consumption" sqref="R65">
      <formula1>0.0</formula1>
      <formula2>9.9999999999999E13</formula2>
    </dataValidation>
    <dataValidation type="decimal" allowBlank="1" showInputMessage="1" showErrorMessage="1" prompt="LGO Bunker Supplied - Enter amount of LGO supplied" sqref="N39">
      <formula1>0.0</formula1>
      <formula2>9.9999999999E10</formula2>
    </dataValidation>
    <dataValidation type="decimal" allowBlank="1" showInputMessage="1" showErrorMessage="1" prompt="LLFO Bunker Supplied - Enter amount of LLFO supplied" sqref="R39">
      <formula1>0.0</formula1>
      <formula2>9.9999999999E10</formula2>
    </dataValidation>
    <dataValidation type="custom" allowBlank="1" showInputMessage="1" showErrorMessage="1" prompt="Vessel IMO - Enter the Vessel IMO" sqref="C5">
      <formula1>EQ(LEN(C5),(7))</formula1>
    </dataValidation>
    <dataValidation type="decimal" allowBlank="1" showInputMessage="1" showErrorMessage="1" prompt="Cargo Heating A/E LGO - Enter cargo heating A/E LGO consumption" sqref="V91">
      <formula1>0.0</formula1>
      <formula2>9.9999999999999E13</formula2>
    </dataValidation>
    <dataValidation type="decimal" allowBlank="1" showInputMessage="1" showErrorMessage="1" prompt="Latitude Seconds - Enter seconds between 0 - 59 whole number only (no decimals)" sqref="K11">
      <formula1>0.0</formula1>
      <formula2>59.0</formula2>
    </dataValidation>
    <dataValidation type="decimal" allowBlank="1" showInputMessage="1" showErrorMessage="1" prompt="Ballast Water A/E MGO - Enter ballast water A/E MGO consumption" sqref="K59">
      <formula1>0.0</formula1>
      <formula2>9.9999999999999E13</formula2>
    </dataValidation>
    <dataValidation type="decimal" allowBlank="1" showInputMessage="1" showErrorMessage="1" prompt="Other A/E MGO - Enter other A/E MGO consumption" sqref="K61">
      <formula1>0.0</formula1>
      <formula2>9.9999999999999E13</formula2>
    </dataValidation>
    <dataValidation type="decimal" allowBlank="1" showInputMessage="1" showErrorMessage="1" prompt="Main Engine HIFO - Enter main engine HIFO consumption" sqref="C47">
      <formula1>0.0</formula1>
      <formula2>9.9999999999999E13</formula2>
    </dataValidation>
    <dataValidation type="decimal" allowBlank="1" showInputMessage="1" showErrorMessage="1" prompt="Ballast Water Boiler HIFO - Enter ballast water boiler HIFO consumption" sqref="C73">
      <formula1>0.0</formula1>
      <formula2>9.9999999999999E13</formula2>
    </dataValidation>
    <dataValidation type="decimal" operator="greaterThanOrEqual" allowBlank="1" showInputMessage="1" showErrorMessage="1" prompt="Shaft Generator Power - Enter the Power output for the shaft generator in KW for the current report period" sqref="K34">
      <formula1>0.0</formula1>
    </dataValidation>
    <dataValidation type="decimal" operator="greaterThanOrEqual" allowBlank="1" showInputMessage="1" showErrorMessage="1" prompt="AE No4 Power - Enter the Power output for AE No4 in KW for the current report period" sqref="I34">
      <formula1>0.0</formula1>
    </dataValidation>
    <dataValidation type="decimal" allowBlank="1" showInputMessage="1" showErrorMessage="1" prompt="Ballast Water A/E HLFO - Enter ballast water A/E HLFO consumption" sqref="F59">
      <formula1>0.0</formula1>
      <formula2>9.9999999999999E13</formula2>
    </dataValidation>
    <dataValidation type="decimal" allowBlank="1" showInputMessage="1" showErrorMessage="1" prompt="Tank Cleaning A/E LGO - Enter tank cleaning A/E LGO consumption" sqref="V93">
      <formula1>0.0</formula1>
      <formula2>9.9999999999999E13</formula2>
    </dataValidation>
    <dataValidation type="decimal" operator="greaterThanOrEqual" allowBlank="1" showInputMessage="1" showErrorMessage="1" prompt="Manouvering Hours - Enter manouvering hours since last report" sqref="C17">
      <formula1>0.0</formula1>
    </dataValidation>
    <dataValidation type="decimal" allowBlank="1" showInputMessage="1" showErrorMessage="1" prompt="Other A/E LLFO - Enter other A/E LLFO consumption" sqref="R61">
      <formula1>0.0</formula1>
      <formula2>9.9999999999999E13</formula2>
    </dataValidation>
    <dataValidation type="decimal" allowBlank="1" showInputMessage="1" showErrorMessage="1" prompt="Cargo Cooling Boiler MGO - Enter cargo cooling boiler MGO consumption" sqref="K67">
      <formula1>0.0</formula1>
      <formula2>9.9999999999999E13</formula2>
    </dataValidation>
    <dataValidation type="decimal" operator="greaterThan" allowBlank="1" showInputMessage="1" showErrorMessage="1" prompt="ETD - Enter in the format dd/mm/yyyy" sqref="D14">
      <formula1>32874.0</formula1>
    </dataValidation>
    <dataValidation type="decimal" allowBlank="1" showInputMessage="1" showErrorMessage="1" prompt="LGO Bunker Survey/De-Bunkering - Enter amount of LGO adjustment for Bunker Survey/De-Bunkering, positive or negative" sqref="N41">
      <formula1>0.0</formula1>
      <formula2>9.9999999999E10</formula2>
    </dataValidation>
    <dataValidation type="decimal" allowBlank="1" showInputMessage="1" showErrorMessage="1" prompt="Cargo Loading A/E HLFO - Enter cargo loading A/E HLFO consumption" sqref="F55">
      <formula1>0.0</formula1>
      <formula2>9.9999999999999E13</formula2>
    </dataValidation>
    <dataValidation type="decimal" allowBlank="1" showInputMessage="1" showErrorMessage="1" prompt="Ballast Water Boiler HLFO - Enter ballast water boiler HLFO consumption" sqref="F73">
      <formula1>0.0</formula1>
      <formula2>9.9999999999999E13</formula2>
    </dataValidation>
    <dataValidation type="decimal" allowBlank="1" showInputMessage="1" showErrorMessage="1" prompt="LIFO Bunker Survey/De-Bunkering - Enter amount of LIFO adjustment for Bunker Survey/De-Bunkering, positive or negative" sqref="P41 P43">
      <formula1>0.0</formula1>
      <formula2>9.9999999999E10</formula2>
    </dataValidation>
    <dataValidation type="decimal" allowBlank="1" showInputMessage="1" showErrorMessage="1" prompt="Other A/E HIFO - Enter other A/E HIFO consumption" sqref="C61">
      <formula1>0.0</formula1>
      <formula2>9.9999999999999E13</formula2>
    </dataValidation>
    <dataValidation type="decimal" operator="greaterThanOrEqual" allowBlank="1" showInputMessage="1" showErrorMessage="1" prompt="Cargo Discharging Hours - Enter the cargo discharging operational hours" sqref="H84 C85">
      <formula1>0.0</formula1>
    </dataValidation>
    <dataValidation type="decimal" allowBlank="1" showInputMessage="1" showErrorMessage="1" prompt="Longitude Degrees - Enter value between 0 - 179 whole number only (no decimals)." sqref="O11">
      <formula1>0.0</formula1>
      <formula2>179.0</formula2>
    </dataValidation>
    <dataValidation type="list" allowBlank="1" showInputMessage="1" showErrorMessage="1" prompt="East or West - Select E or W" sqref="U11">
      <formula1>"E,W"</formula1>
    </dataValidation>
    <dataValidation type="decimal" allowBlank="1" showInputMessage="1" showErrorMessage="1" prompt="Standard A/E HIFO - Enter standard A/E HIFO consumption" sqref="C51">
      <formula1>0.0</formula1>
      <formula2>9.9999999999999E13</formula2>
    </dataValidation>
    <dataValidation type="decimal" allowBlank="1" showInputMessage="1" showErrorMessage="1" prompt="Cargo Loading A/E HIFO - Enter cargo loading A/E HIFO consumption" sqref="C55">
      <formula1>0.0</formula1>
      <formula2>9.9999999999999E13</formula2>
    </dataValidation>
    <dataValidation type="decimal" operator="greaterThanOrEqual" allowBlank="1" showInputMessage="1" showErrorMessage="1" prompt="Observed Distance - Enter distance over ground in NM" sqref="C19">
      <formula1>0.0</formula1>
    </dataValidation>
    <dataValidation type="decimal" allowBlank="1" showInputMessage="1" showErrorMessage="1" prompt="Cargo Cooling A/E MGO - Enter cargo cooling A/E MGO consumption" sqref="K53">
      <formula1>0.0</formula1>
      <formula2>9.9999999999999E13</formula2>
    </dataValidation>
    <dataValidation type="decimal" allowBlank="1" showInputMessage="1" showErrorMessage="1" prompt="Cargo Cooling A/E LGO - Enter cargo cooling A/E LGO consumption" sqref="N53">
      <formula1>0.0</formula1>
      <formula2>9.9999999999999E13</formula2>
    </dataValidation>
    <dataValidation type="decimal" allowBlank="1" showInputMessage="1" showErrorMessage="1" prompt="Cargo Discharging Boiler HLFO - Enter cargo discharging boiler HLFO consumption" sqref="F71">
      <formula1>0.0</formula1>
      <formula2>9.9999999999999E13</formula2>
    </dataValidation>
    <dataValidation type="decimal" allowBlank="1" showInputMessage="1" showErrorMessage="1" prompt="Other Boiler HLFO - Enter other boiler HLFO consumption" sqref="F75">
      <formula1>0.0</formula1>
      <formula2>9.9999999999999E13</formula2>
    </dataValidation>
    <dataValidation type="decimal" allowBlank="1" showInputMessage="1" showErrorMessage="1" prompt="Cargo Heating Boiler LGO - Enter cargo heating boiler LGO consumption" sqref="N68:O68 V105">
      <formula1>0.0</formula1>
      <formula2>9.9999999999999E13</formula2>
    </dataValidation>
    <dataValidation type="decimal" allowBlank="1" showInputMessage="1" showErrorMessage="1" prompt="Cargo Heating Boiler MGO - Enter cargo heating boiler MGO consumption" sqref="K68">
      <formula1>0.0</formula1>
      <formula2>9.9999999999999E13</formula2>
    </dataValidation>
    <dataValidation type="decimal" allowBlank="1" showInputMessage="1" showErrorMessage="1" prompt="Cargo Cooling Boiler HIFO - Enter cargo cooling boiler HIFO consumption" sqref="C67">
      <formula1>0.0</formula1>
      <formula2>9.9999999999999E13</formula2>
    </dataValidation>
    <dataValidation type="decimal" allowBlank="1" showInputMessage="1" showErrorMessage="1" prompt="Standard A/E LLFO - Enter standard A/E LLFO consumption" sqref="R51">
      <formula1>0.0</formula1>
      <formula2>9.9999999999999E13</formula2>
    </dataValidation>
    <dataValidation type="decimal" allowBlank="1" showInputMessage="1" showErrorMessage="1" prompt="Main Engine MGO - Enter main engine MGO consumption" sqref="K47">
      <formula1>0.0</formula1>
      <formula2>9.9999999999999E13</formula2>
    </dataValidation>
    <dataValidation type="decimal" allowBlank="1" showInputMessage="1" showErrorMessage="1" prompt="Cargo Discharging Boiler LLFO - Enter cargo discharging boiler LLFO consumption" sqref="R57 R71">
      <formula1>0.0</formula1>
      <formula2>9.9999999999999E13</formula2>
    </dataValidation>
    <dataValidation type="custom" allowBlank="1" showInputMessage="1" showErrorMessage="1" prompt="Local Time - Enter Time hh:mm" sqref="O8">
      <formula1>AND(GTE(O8,MIN((0),(0.999305555555556))),LTE(O8,MAX((0),(0.999305555555556))))</formula1>
    </dataValidation>
    <dataValidation type="decimal" operator="greaterThanOrEqual" allowBlank="1" showInputMessage="1" showErrorMessage="1" prompt="ME Running Hours - Enter the running hours for the ME for the current report period" sqref="C32">
      <formula1>0.0</formula1>
    </dataValidation>
    <dataValidation type="decimal" operator="greaterThanOrEqual" allowBlank="1" showInputMessage="1" showErrorMessage="1" prompt="Cargo Cooling Hours - Enter the cargo cooling operational hours" sqref="C83">
      <formula1>0.0</formula1>
    </dataValidation>
    <dataValidation type="decimal" operator="greaterThanOrEqual" allowBlank="1" showInputMessage="1" showErrorMessage="1" prompt="AE No2 Running Hours - Enter the running hours for AE No2 for the current report period" sqref="G32">
      <formula1>0.0</formula1>
    </dataValidation>
    <dataValidation type="decimal" allowBlank="1" showInputMessage="1" showErrorMessage="1" prompt="Ballast Water A/E LIFO - Enter ballast water A/E LIFO consumption" sqref="P59">
      <formula1>0.0</formula1>
      <formula2>9.9999999999999E13</formula2>
    </dataValidation>
    <dataValidation type="list" allowBlank="1" showInputMessage="1" showErrorMessage="1" prompt="UTC Offset - Select UTC offset in ±hh:mm from drop down list" sqref="V8">
      <formula1>UtcOffsetList</formula1>
    </dataValidation>
    <dataValidation type="decimal" allowBlank="1" showInputMessage="1" showErrorMessage="1" prompt="Longitude Seconds - Enter seconds between 0 - 59 whole number only (no decimals)" sqref="S11">
      <formula1>0.0</formula1>
      <formula2>59.0</formula2>
    </dataValidation>
    <dataValidation type="decimal" allowBlank="1" showInputMessage="1" showErrorMessage="1" prompt="Cargo Cooling A/E HLFO - Enter cargo cooling A/E HLFO consumption" sqref="F53">
      <formula1>0.0</formula1>
      <formula2>9.9999999999999E13</formula2>
    </dataValidation>
    <dataValidation type="decimal" allowBlank="1" showInputMessage="1" showErrorMessage="1" prompt="Cargo Loading Boiler LIFO - Enter cargo loading boiler LIFO consumption" sqref="P55 P69">
      <formula1>0.0</formula1>
      <formula2>9.9999999999999E13</formula2>
    </dataValidation>
    <dataValidation type="decimal" operator="greaterThanOrEqual" allowBlank="1" showInputMessage="1" showErrorMessage="1" prompt="AE No3 Power - Enter the Power output for AE No3 in KW for the current report period" sqref="H34">
      <formula1>0.0</formula1>
    </dataValidation>
    <dataValidation type="decimal" allowBlank="1" showInputMessage="1" showErrorMessage="1" prompt="Standard Boiler LGO - Enter standard boiler LGO consumption" sqref="N65 V101">
      <formula1>0.0</formula1>
      <formula2>9.9999999999999E13</formula2>
    </dataValidation>
    <dataValidation type="decimal" allowBlank="1" showInputMessage="1" showErrorMessage="1" prompt="IGS Boiler LGO - Enter IGS boiler LGO consumption" sqref="V103">
      <formula1>0.0</formula1>
      <formula2>9.9999999999999E13</formula2>
    </dataValidation>
    <dataValidation type="decimal" allowBlank="1" showInputMessage="1" showErrorMessage="1" prompt="Main Engine HLFO - Enter main engine HLFO consumption" sqref="F47">
      <formula1>0.0</formula1>
      <formula2>9.9999999999999E13</formula2>
    </dataValidation>
    <dataValidation type="decimal" allowBlank="1" showInputMessage="1" showErrorMessage="1" prompt="Cargo Loading A/E MGO - Enter cargo loading A/E MGO consumption" sqref="K55">
      <formula1>0.0</formula1>
      <formula2>9.9999999999999E13</formula2>
    </dataValidation>
    <dataValidation type="decimal" allowBlank="1" showInputMessage="1" showErrorMessage="1" prompt="IGS A/E LGO - Enter IGS A/E LGO consumption" sqref="V89">
      <formula1>0.0</formula1>
      <formula2>9.9999999999999E13</formula2>
    </dataValidation>
    <dataValidation type="decimal" allowBlank="1" showInputMessage="1" showErrorMessage="1" prompt="Cargo Heating Boiler LFO - Enter cargo heating boiler LFO consumption" sqref="F68:I68">
      <formula1>0.0</formula1>
      <formula2>9.9999999999999E13</formula2>
    </dataValidation>
    <dataValidation type="decimal" allowBlank="1" showInputMessage="1" showErrorMessage="1" prompt="Cargo Loading Boiler HIFO - Enter cargo loading boiler HIFO consumption" sqref="C69">
      <formula1>0.0</formula1>
      <formula2>9.9999999999999E13</formula2>
    </dataValidation>
    <dataValidation type="decimal" allowBlank="1" showInputMessage="1" showErrorMessage="1" prompt="Other A/E HLFO - Enter other A/E HLFO consumption" sqref="F61">
      <formula1>0.0</formula1>
      <formula2>9.9999999999999E13</formula2>
    </dataValidation>
    <dataValidation type="decimal" allowBlank="1" showInputMessage="1" showErrorMessage="1" prompt="Ballast Water &amp; Other Boiler IFO - Enter ballast water &amp; others boiler IFO consumption" sqref="C64">
      <formula1>0.0</formula1>
      <formula2>9.9999999999999E13</formula2>
    </dataValidation>
    <dataValidation type="decimal" allowBlank="1" showInputMessage="1" showErrorMessage="1" prompt="Standard Boiler HLFO - Enter standard boiler HLFO consumption" sqref="F65">
      <formula1>0.0</formula1>
      <formula2>9.9999999999999E13</formula2>
    </dataValidation>
    <dataValidation type="decimal" allowBlank="1" showInputMessage="1" showErrorMessage="1" prompt="Ballast Water &amp; Other Boiler LGO - Enter ballast water &amp; others boiler LGO consumption" sqref="V60:X60 K64 N64:O64 R95 S100 V100:Y100">
      <formula1>0.0</formula1>
      <formula2>9.9999999999999E13</formula2>
    </dataValidation>
    <dataValidation type="decimal" allowBlank="1" showInputMessage="1" showErrorMessage="1" prompt="Draft Fore - Enter draft fore in m" sqref="J18">
      <formula1>0.0</formula1>
      <formula2>30.0</formula2>
    </dataValidation>
    <dataValidation type="decimal" allowBlank="1" showInputMessage="1" showErrorMessage="1" prompt="Other A/E LIFO - Enter other A/E LIFO consumption" sqref="P61">
      <formula1>0.0</formula1>
      <formula2>9.9999999999999E13</formula2>
    </dataValidation>
    <dataValidation type="decimal" allowBlank="1" showInputMessage="1" showErrorMessage="1" prompt="HLFO Bunker Supplied - Enter amount of HLFO supplied" sqref="F39">
      <formula1>0.0</formula1>
      <formula2>9.9999999999E10</formula2>
    </dataValidation>
    <dataValidation type="decimal" allowBlank="1" showInputMessage="1" showErrorMessage="1" prompt="Other A/E LGO - Enter other A/E LGO consumption" sqref="N61 O62 R93 V97 S98 V98:Y98">
      <formula1>0.0</formula1>
      <formula2>9.9999999999999E13</formula2>
    </dataValidation>
    <dataValidation type="decimal" allowBlank="1" showInputMessage="1" showErrorMessage="1" prompt="Cargo Discharging Boiler LGO - Enter cargo discharging boiler LGO consumption" sqref="N71">
      <formula1>0.0</formula1>
      <formula2>9.9999999999999E13</formula2>
    </dataValidation>
    <dataValidation type="decimal" allowBlank="1" showInputMessage="1" showErrorMessage="1" prompt="Total Cargo On Board - Enter the total cargo on board in M3" sqref="C22">
      <formula1>0.0</formula1>
      <formula2>9.9999999E7</formula2>
    </dataValidation>
    <dataValidation type="decimal" operator="greaterThanOrEqual" allowBlank="1" showInputMessage="1" showErrorMessage="1" prompt="AE No2 Power - Enter the Power output for AE No2 in KW for the current report period" sqref="G34">
      <formula1>0.0</formula1>
    </dataValidation>
    <dataValidation type="decimal" allowBlank="1" showInputMessage="1" showErrorMessage="1" prompt="Ballast Water A/E LGO - Enter ballast water A/E LGO consumption" sqref="N59 V95">
      <formula1>0.0</formula1>
      <formula2>9.9999999999999E13</formula2>
    </dataValidation>
    <dataValidation type="decimal" allowBlank="1" showInputMessage="1" showErrorMessage="1" prompt="Ballast Water A/E LLFO - Enter ballast water A/E LLFO consumption" sqref="R59">
      <formula1>0.0</formula1>
      <formula2>9.9999999999999E13</formula2>
    </dataValidation>
    <dataValidation type="decimal" allowBlank="1" showInputMessage="1" showErrorMessage="1" prompt="Ballast Water Boiler LLFO - Enter ballast water boiler LLFO consumption" sqref="R73">
      <formula1>0.0</formula1>
      <formula2>9.9999999999999E13</formula2>
    </dataValidation>
    <dataValidation type="decimal" allowBlank="1" showInputMessage="1" showErrorMessage="1" prompt="Cargo Cooling Boiler HLFO - Enter cargo cooling boiler HLFO consumption" sqref="F67">
      <formula1>0.0</formula1>
      <formula2>9.9999999999999E13</formula2>
    </dataValidation>
    <dataValidation type="decimal" allowBlank="1" showInputMessage="1" showErrorMessage="1" prompt="Standard A/E LGO - Enter standard A/E LGO consumption" sqref="N51 V87">
      <formula1>0.0</formula1>
      <formula2>9.9999999999999E13</formula2>
    </dataValidation>
    <dataValidation type="decimal" allowBlank="1" showInputMessage="1" showErrorMessage="1" prompt="Other Boiler MGO - Enter other boiler MGO consumption" sqref="K75:K76">
      <formula1>0.0</formula1>
      <formula2>9.9999999999999E13</formula2>
    </dataValidation>
    <dataValidation type="decimal" operator="greaterThanOrEqual" allowBlank="1" showInputMessage="1" showErrorMessage="1" prompt="ME Power - Enter the Power output for the ME in kW for the current report period" sqref="C34">
      <formula1>0.0</formula1>
    </dataValidation>
    <dataValidation type="decimal" allowBlank="1" showInputMessage="1" showErrorMessage="1" prompt="Other Boiler HIFO - Enter other boiler HIFO consumption" sqref="C75">
      <formula1>0.0</formula1>
      <formula2>9.9999999999999E13</formula2>
    </dataValidation>
    <dataValidation type="decimal" operator="greaterThanOrEqual" allowBlank="1" showInputMessage="1" showErrorMessage="1" prompt="Hours Since Last Report - Calculated hours since last report" sqref="C18">
      <formula1>0.0</formula1>
    </dataValidation>
    <dataValidation type="list" allowBlank="1" showInputMessage="1" showErrorMessage="1" prompt="Vessel Condition - Select whether the vessel is in Ballast or Laden condition" sqref="J17">
      <formula1>"Ballast,Laden"</formula1>
    </dataValidation>
    <dataValidation type="decimal" allowBlank="1" showInputMessage="1" showErrorMessage="1" prompt="HLFO ROB - Enter HLFO ROB" sqref="F43">
      <formula1>0.0</formula1>
      <formula2>9.9999999E7</formula2>
    </dataValidation>
    <dataValidation type="decimal" allowBlank="1" showInputMessage="1" showErrorMessage="1" prompt="Cargo Discharging Boiler HIFO - Enter cargo discharging boiler HIFO consumption" sqref="C71">
      <formula1>0.0</formula1>
      <formula2>9.9999999999999E13</formula2>
    </dataValidation>
    <dataValidation type="decimal" operator="greaterThanOrEqual" allowBlank="1" showInputMessage="1" showErrorMessage="1" prompt="Idle/Drifting/On Berth Hours - Enter idle/drifting/on berth hours since last report" sqref="C16">
      <formula1>0.0</formula1>
    </dataValidation>
    <dataValidation type="decimal" allowBlank="1" showInputMessage="1" showErrorMessage="1" prompt="Cargo Load - Enter the cargo loaded in MT" sqref="D24">
      <formula1>0.0</formula1>
      <formula2>9.9999999999E10</formula2>
    </dataValidation>
    <dataValidation type="decimal" operator="greaterThanOrEqual" allowBlank="1" showInputMessage="1" showErrorMessage="1" prompt="AE No4 Running Hours - Enter the running hours for AE No4 for the current report period" sqref="I32">
      <formula1>0.0</formula1>
    </dataValidation>
    <dataValidation type="decimal" allowBlank="1" showInputMessage="1" showErrorMessage="1" prompt="LLFO Bunker Survey/De-Bunkering - Enter amount of LLFO adjustment for Bunker Survey/De-Bunkering, positive or negative" sqref="R41 R43">
      <formula1>0.0</formula1>
      <formula2>9.9999999999E10</formula2>
    </dataValidation>
    <dataValidation type="decimal" operator="greaterThanOrEqual" allowBlank="1" showInputMessage="1" showErrorMessage="1" prompt="Cargo Cooling kWh - Enter the energy used for Cargo Cooling in kWh" sqref="C84">
      <formula1>0.0</formula1>
    </dataValidation>
    <dataValidation type="decimal" allowBlank="1" showInputMessage="1" showErrorMessage="1" prompt="LIFO Bunker Supplied - Enter amount of LIFO supplied" sqref="P39">
      <formula1>0.0</formula1>
      <formula2>9.9999999999E10</formula2>
    </dataValidation>
    <dataValidation type="decimal" allowBlank="1" showInputMessage="1" showErrorMessage="1" prompt="Cargo Heating Boiler IFO - Enter cargo heating boiler IFO consumption" sqref="C68">
      <formula1>0.0</formula1>
      <formula2>9.9999999999999E13</formula2>
    </dataValidation>
    <dataValidation type="decimal" allowBlank="1" showInputMessage="1" showErrorMessage="1" prompt="Standard Boiler HIFO - Enter standard boiler HIFO consumption" sqref="C65">
      <formula1>0.0</formula1>
      <formula2>9.9999999999999E13</formula2>
    </dataValidation>
    <dataValidation type="decimal" allowBlank="1" showInputMessage="1" showErrorMessage="1" prompt="Cargo Discharging A/E HIFO - Enter cargo discharging A/E HIFO consumption" sqref="C57">
      <formula1>0.0</formula1>
      <formula2>9.9999999999999E13</formula2>
    </dataValidation>
    <dataValidation type="decimal" allowBlank="1" showInputMessage="1" showErrorMessage="1" prompt="Other Boiler IFO - Enter other boiler IFO consumption" sqref="C76">
      <formula1>0.0</formula1>
      <formula2>9.9999999999999E13</formula2>
    </dataValidation>
    <dataValidation type="decimal" allowBlank="1" showInputMessage="1" showErrorMessage="1" prompt="Standard A/E LIFO - Enter standard A/E LIFO consumption" sqref="P51">
      <formula1>0.0</formula1>
      <formula2>9.9999999999999E13</formula2>
    </dataValidation>
    <dataValidation type="decimal" operator="greaterThanOrEqual" allowBlank="1" showInputMessage="1" showErrorMessage="1" prompt="ME Running Hours Counter - Total Counter ME Running Hours" sqref="C20">
      <formula1>0.0</formula1>
    </dataValidation>
    <dataValidation type="decimal" allowBlank="1" showInputMessage="1" showErrorMessage="1" prompt="HIFO Bunker Supplied - Enter amount of HIFO supplied" sqref="C39">
      <formula1>0.0</formula1>
      <formula2>9.9999999999E10</formula2>
    </dataValidation>
    <dataValidation type="decimal" allowBlank="1" showInputMessage="1" showErrorMessage="1" prompt="Cargo Cooling A/E HIFO - Enter cargo cooling A/E HIFO consumption" sqref="C53">
      <formula1>0.0</formula1>
      <formula2>9.9999999999999E13</formula2>
    </dataValidation>
    <dataValidation type="decimal" allowBlank="1" showInputMessage="1" showErrorMessage="1" prompt="Ballast Water A/E HIFO - Enter ballast water A/E HIFO consumption" sqref="C59">
      <formula1>0.0</formula1>
      <formula2>9.9999999999999E13</formula2>
    </dataValidation>
    <dataValidation type="decimal" operator="greaterThanOrEqual" allowBlank="1" showInputMessage="1" showErrorMessage="1" prompt="RPM Counter - Total RPM Counter" sqref="J20">
      <formula1>0.0</formula1>
    </dataValidation>
    <dataValidation type="decimal" allowBlank="1" showInputMessage="1" showErrorMessage="1" prompt="Cargo Cooling Boiler LIFO - Enter cargo cooling boiler LIFO consumption" sqref="P67">
      <formula1>0.0</formula1>
      <formula2>9.9999999999999E13</formula2>
    </dataValidation>
    <dataValidation type="decimal" allowBlank="1" showInputMessage="1" showErrorMessage="1" prompt="Main Engine LGO - Enter main engine LGO consumption" sqref="N47 V78">
      <formula1>0.0</formula1>
      <formula2>9.9999999999999E13</formula2>
    </dataValidation>
    <dataValidation type="decimal" allowBlank="1" showInputMessage="1" showErrorMessage="1" prompt="Latitude Minutes - Enter minutes between 0 - 59 whole number only (no decimals)" sqref="F11">
      <formula1>0.0</formula1>
      <formula2>59.0</formula2>
    </dataValidation>
    <dataValidation type="decimal" allowBlank="1" showInputMessage="1" showErrorMessage="1" prompt="Longitude Minutes - Enter minutes between 0 - 59 whole number only (no decimals)" sqref="Q11">
      <formula1>0.0</formula1>
      <formula2>59.0</formula2>
    </dataValidation>
    <dataValidation type="decimal" allowBlank="1" showInputMessage="1" showErrorMessage="1" prompt="Cargo Discharging Boiler LIFO - Enter cargo discharging boiler LIFO consumption" sqref="P57 P71">
      <formula1>0.0</formula1>
      <formula2>9.9999999999999E13</formula2>
    </dataValidation>
    <dataValidation type="decimal" allowBlank="1" showInputMessage="1" showErrorMessage="1" prompt="Other Boiler LLFO - Enter other boiler LLFO consumption" sqref="R75">
      <formula1>0.0</formula1>
      <formula2>9.9999999999999E13</formula2>
    </dataValidation>
    <dataValidation type="decimal" allowBlank="1" showInputMessage="1" showErrorMessage="1" prompt="Latitude Degrees - Enter value between 0 - 89 whole number only (no decimals)." sqref="D11">
      <formula1>0.0</formula1>
      <formula2>89.0</formula2>
    </dataValidation>
    <dataValidation type="decimal" allowBlank="1" showInputMessage="1" showErrorMessage="1" prompt="Cargo Discharging A/E HLFO - Enter cargo discharging A/E HLFO consumption" sqref="F57">
      <formula1>0.0</formula1>
      <formula2>9.9999999999999E13</formula2>
    </dataValidation>
    <dataValidation type="decimal" allowBlank="1" showInputMessage="1" showErrorMessage="1" prompt="Main Engine LIFO - Enter main engine LIFO consumption" sqref="P47">
      <formula1>0.0</formula1>
      <formula2>9.9999999999999E13</formula2>
    </dataValidation>
    <dataValidation type="decimal" allowBlank="1" showInputMessage="1" showErrorMessage="1" prompt="Main Engine LLFO - Enter main engine LLFO consumption" sqref="R47">
      <formula1>0.0</formula1>
      <formula2>9.9999999999999E13</formula2>
    </dataValidation>
    <dataValidation type="decimal" allowBlank="1" showInputMessage="1" showErrorMessage="1" prompt="Standard A/E HLFO - Enter standard A/E HLFO consumption" sqref="F51">
      <formula1>0.0</formula1>
      <formula2>9.9999999999999E13</formula2>
    </dataValidation>
    <dataValidation type="decimal" allowBlank="1" showInputMessage="1" showErrorMessage="1" prompt="Ballast Water Boiler LIFO - Enter ballast water boiler LIFO consumption" sqref="P73">
      <formula1>0.0</formula1>
      <formula2>9.9999999999999E13</formula2>
    </dataValidation>
    <dataValidation type="decimal" allowBlank="1" showInputMessage="1" showErrorMessage="1" prompt="Other Boiler LGO - Enter other boiler LGO consumption" sqref="V70:X70 N75 N76:O76 R107 V111 S112 V112:Y112">
      <formula1>0.0</formula1>
      <formula2>9.9999999999999E13</formula2>
    </dataValidation>
    <dataValidation type="decimal" allowBlank="1" showInputMessage="1" showErrorMessage="1" prompt="Standard A/E MGO - Enter standard A/E MGO consumption" sqref="K51">
      <formula1>0.0</formula1>
      <formula2>9.9999999999999E13</formula2>
    </dataValidation>
    <dataValidation type="decimal" allowBlank="1" showInputMessage="1" showErrorMessage="1" prompt="Other A/E IFO - Enter other A/E IFO consumption" sqref="V99 V113">
      <formula1>0.0</formula1>
      <formula2>9.9999999999999E13</formula2>
    </dataValidation>
    <dataValidation type="decimal" allowBlank="1" showInputMessage="1" showErrorMessage="1" prompt="Cargo Discharging A/E LGO - Enter cargo discharging A/E LGO consumption" sqref="N57">
      <formula1>0.0</formula1>
      <formula2>9.9999999999999E13</formula2>
    </dataValidation>
    <dataValidation type="decimal" allowBlank="1" showInputMessage="1" showErrorMessage="1" prompt="HLFO Bunker Survey/De-Bunkering - Enter amount of HLFO adjustment for Bunker Survey/De-Bunkering, positive or negative" sqref="F41">
      <formula1>0.0</formula1>
      <formula2>9.9999999999E10</formula2>
    </dataValidation>
    <dataValidation type="decimal" allowBlank="1" showInputMessage="1" showErrorMessage="1" prompt="Ballast Water Boiler LGO - Enter ballast water boiler LGO consumption" sqref="N73 V109">
      <formula1>0.0</formula1>
      <formula2>9.9999999999999E13</formula2>
    </dataValidation>
    <dataValidation type="decimal" operator="greaterThanOrEqual" allowBlank="1" showInputMessage="1" showErrorMessage="1" prompt="Shaft Generator Running Hours - Enter the running hours for the shaft generator for the current report period" sqref="K32">
      <formula1>0.0</formula1>
    </dataValidation>
    <dataValidation type="date" operator="greaterThan" allowBlank="1" showInputMessage="1" showErrorMessage="1" prompt="ETD - Enter in the format dd/mm/yyyy" sqref="M14">
      <formula1>32874.0</formula1>
    </dataValidation>
    <dataValidation type="decimal" allowBlank="1" showInputMessage="1" showErrorMessage="1" prompt="HIFO Bunker Survey/De-Bunkering - Enter amount of HIFO adjustment for Bunker Survey/De-Bunkering, positive or negative" sqref="C41">
      <formula1>0.0</formula1>
      <formula2>9.9999999999E10</formula2>
    </dataValidation>
    <dataValidation type="decimal" operator="greaterThanOrEqual" allowBlank="1" showInputMessage="1" showErrorMessage="1" prompt="AE No1 Power - Enter the Power output for AE No1 in KW for the current report period" sqref="F34">
      <formula1>0.0</formula1>
    </dataValidation>
    <dataValidation type="decimal" allowBlank="1" showInputMessage="1" showErrorMessage="1" prompt="Cargo Loading Boiler HLFO - Enter cargo loading boiler HLFO consumption" sqref="F69">
      <formula1>0.0</formula1>
      <formula2>9.9999999999999E13</formula2>
    </dataValidation>
    <dataValidation type="decimal" allowBlank="1" showInputMessage="1" showErrorMessage="1" prompt="Cargo Loading Boiler LGO - Enter cargo loading boiler LGO consumption" sqref="N69">
      <formula1>0.0</formula1>
      <formula2>9.9999999999999E13</formula2>
    </dataValidation>
    <dataValidation type="decimal" allowBlank="1" showInputMessage="1" showErrorMessage="1" prompt="Ballast Water Boiler MGO - Enter ballast water boiler MGO consumption" sqref="K73">
      <formula1>0.0</formula1>
      <formula2>9.9999999999999E13</formula2>
    </dataValidation>
    <dataValidation type="decimal" allowBlank="1" showInputMessage="1" showErrorMessage="1" prompt="Cargo Loading Boiler MGO - Enter cargo loading boiler MGO consumption" sqref="K69">
      <formula1>0.0</formula1>
      <formula2>9.9999999999999E13</formula2>
    </dataValidation>
    <dataValidation type="decimal" allowBlank="1" showInputMessage="1" showErrorMessage="1" prompt="Other Boiler LFO - Enter other boiler LFO consumption" sqref="F76:I76">
      <formula1>0.0</formula1>
      <formula2>9.9999999999999E13</formula2>
    </dataValidation>
  </dataValidations>
  <printOptions/>
  <pageMargins bottom="0.75" footer="0.0" header="0.0" left="0.7" right="0.7" top="0.75"/>
  <pageSetup orientation="portrait"/>
  <headerFooter>
    <oddHeader>&amp;L000000 INTERNAL ONLY: Not for external distribution.#_x000D_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71"/>
    <col customWidth="1" min="3" max="6" width="8.71"/>
  </cols>
  <sheetData>
    <row r="1">
      <c r="B1" s="77" t="s">
        <v>94</v>
      </c>
    </row>
    <row r="2">
      <c r="B2" s="78" t="s">
        <v>95</v>
      </c>
    </row>
    <row r="3">
      <c r="B3" s="78" t="s">
        <v>96</v>
      </c>
    </row>
    <row r="4">
      <c r="B4" s="78" t="s">
        <v>97</v>
      </c>
    </row>
    <row r="5">
      <c r="B5" s="79" t="s">
        <v>98</v>
      </c>
    </row>
    <row r="6">
      <c r="B6" s="78" t="s">
        <v>99</v>
      </c>
    </row>
    <row r="7">
      <c r="B7" s="78" t="s">
        <v>100</v>
      </c>
    </row>
    <row r="8">
      <c r="B8" s="78" t="s">
        <v>101</v>
      </c>
    </row>
    <row r="9">
      <c r="B9" s="78" t="s">
        <v>102</v>
      </c>
    </row>
    <row r="10">
      <c r="B10" s="78" t="s">
        <v>103</v>
      </c>
    </row>
    <row r="11">
      <c r="B11" s="78" t="s">
        <v>104</v>
      </c>
    </row>
    <row r="12">
      <c r="B12" s="79" t="s">
        <v>105</v>
      </c>
    </row>
    <row r="13">
      <c r="B13" s="78" t="s">
        <v>106</v>
      </c>
    </row>
    <row r="14">
      <c r="B14" s="78" t="s">
        <v>107</v>
      </c>
    </row>
    <row r="15">
      <c r="B15" s="78" t="s">
        <v>108</v>
      </c>
    </row>
    <row r="16">
      <c r="B16" s="79" t="s">
        <v>109</v>
      </c>
    </row>
    <row r="17">
      <c r="B17" s="78" t="s">
        <v>14</v>
      </c>
    </row>
    <row r="18">
      <c r="B18" s="78" t="s">
        <v>110</v>
      </c>
    </row>
    <row r="19">
      <c r="B19" s="78" t="s">
        <v>111</v>
      </c>
    </row>
    <row r="20">
      <c r="B20" s="78" t="s">
        <v>112</v>
      </c>
    </row>
    <row r="21" ht="15.75" customHeight="1">
      <c r="B21" s="78" t="s">
        <v>113</v>
      </c>
    </row>
    <row r="22" ht="15.75" customHeight="1">
      <c r="B22" s="78" t="s">
        <v>114</v>
      </c>
    </row>
    <row r="23" ht="15.75" customHeight="1">
      <c r="B23" s="78" t="s">
        <v>115</v>
      </c>
    </row>
    <row r="24" ht="15.75" customHeight="1">
      <c r="B24" s="78" t="s">
        <v>116</v>
      </c>
    </row>
    <row r="25" ht="15.75" customHeight="1">
      <c r="B25" s="78" t="s">
        <v>117</v>
      </c>
    </row>
    <row r="26" ht="15.75" customHeight="1">
      <c r="B26" s="78" t="s">
        <v>118</v>
      </c>
    </row>
    <row r="27" ht="15.75" customHeight="1">
      <c r="B27" s="78" t="s">
        <v>119</v>
      </c>
    </row>
    <row r="28" ht="15.75" customHeight="1">
      <c r="B28" s="78" t="s">
        <v>120</v>
      </c>
    </row>
    <row r="29" ht="15.75" customHeight="1">
      <c r="B29" s="78" t="s">
        <v>121</v>
      </c>
    </row>
    <row r="30" ht="15.75" customHeight="1">
      <c r="B30" s="78" t="s">
        <v>122</v>
      </c>
    </row>
    <row r="31" ht="15.75" customHeight="1">
      <c r="B31" s="78" t="s">
        <v>123</v>
      </c>
    </row>
    <row r="32" ht="15.75" customHeight="1">
      <c r="B32" s="78" t="s">
        <v>124</v>
      </c>
    </row>
    <row r="33" ht="15.75" customHeight="1">
      <c r="B33" s="78" t="s">
        <v>125</v>
      </c>
    </row>
    <row r="34" ht="15.75" customHeight="1">
      <c r="B34" s="78" t="s">
        <v>126</v>
      </c>
    </row>
    <row r="35" ht="15.75" customHeight="1">
      <c r="B35" s="78" t="s">
        <v>127</v>
      </c>
    </row>
    <row r="36" ht="15.75" customHeight="1">
      <c r="B36" s="78" t="s">
        <v>128</v>
      </c>
    </row>
    <row r="37" ht="15.75" customHeight="1">
      <c r="B37" s="78" t="s">
        <v>129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&amp;L000000 INTERNAL ONLY: Not for external distribution.#_x000D_</oddHead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24.86"/>
    <col customWidth="1" min="4" max="4" width="25.71"/>
    <col customWidth="1" min="5" max="5" width="24.43"/>
    <col customWidth="1" min="6" max="6" width="27.14"/>
    <col customWidth="1" min="7" max="7" width="27.86"/>
    <col customWidth="1" min="8" max="8" width="28.71"/>
    <col customWidth="1" min="9" max="9" width="27.43"/>
    <col customWidth="1" min="10" max="10" width="20.86"/>
    <col customWidth="1" min="11" max="11" width="21.57"/>
    <col customWidth="1" min="12" max="12" width="22.43"/>
    <col customWidth="1" min="13" max="13" width="21.14"/>
    <col customWidth="1" min="14" max="14" width="23.86"/>
    <col customWidth="1" min="15" max="15" width="24.57"/>
    <col customWidth="1" min="16" max="16" width="25.43"/>
    <col customWidth="1" min="17" max="17" width="24.14"/>
    <col customWidth="1" min="18" max="18" width="21.57"/>
    <col customWidth="1" min="19" max="19" width="25.14"/>
    <col customWidth="1" min="20" max="20" width="20.43"/>
    <col customWidth="1" min="21" max="21" width="23.43"/>
    <col customWidth="1" min="22" max="22" width="28.0"/>
    <col customWidth="1" min="23" max="23" width="20.86"/>
    <col customWidth="1" min="24" max="24" width="23.71"/>
    <col customWidth="1" min="25" max="25" width="17.43"/>
    <col customWidth="1" min="26" max="26" width="21.71"/>
    <col customWidth="1" min="27" max="27" width="14.43"/>
    <col customWidth="1" min="28" max="28" width="17.43"/>
    <col customWidth="1" min="29" max="29" width="10.86"/>
    <col customWidth="1" min="30" max="30" width="17.14"/>
    <col customWidth="1" min="31" max="31" width="19.86"/>
    <col customWidth="1" min="32" max="32" width="22.86"/>
    <col customWidth="1" min="33" max="33" width="24.43"/>
    <col customWidth="1" min="34" max="34" width="19.86"/>
    <col customWidth="1" min="35" max="35" width="22.57"/>
    <col customWidth="1" min="36" max="36" width="27.29"/>
    <col customWidth="1" min="37" max="37" width="20.14"/>
    <col customWidth="1" min="38" max="38" width="23.14"/>
    <col customWidth="1" min="39" max="39" width="16.86"/>
    <col customWidth="1" min="40" max="40" width="21.0"/>
    <col customWidth="1" min="41" max="41" width="13.86"/>
    <col customWidth="1" min="42" max="42" width="16.57"/>
    <col customWidth="1" min="43" max="43" width="10.29"/>
    <col customWidth="1" min="44" max="44" width="16.43"/>
    <col customWidth="1" min="45" max="45" width="19.29"/>
    <col customWidth="1" min="46" max="46" width="22.29"/>
    <col customWidth="1" min="47" max="47" width="26.14"/>
    <col customWidth="1" min="48" max="48" width="21.43"/>
    <col customWidth="1" min="49" max="49" width="24.29"/>
    <col customWidth="1" min="50" max="50" width="28.86"/>
    <col customWidth="1" min="51" max="51" width="21.86"/>
    <col customWidth="1" min="52" max="52" width="24.71"/>
    <col customWidth="1" min="53" max="53" width="18.43"/>
    <col customWidth="1" min="54" max="54" width="22.57"/>
    <col customWidth="1" min="55" max="55" width="15.43"/>
    <col customWidth="1" min="56" max="56" width="18.29"/>
    <col customWidth="1" min="57" max="57" width="11.86"/>
    <col customWidth="1" min="58" max="58" width="18.0"/>
    <col customWidth="1" min="59" max="59" width="20.86"/>
    <col customWidth="1" min="60" max="60" width="23.86"/>
    <col customWidth="1" min="61" max="61" width="24.71"/>
    <col customWidth="1" min="62" max="62" width="20.14"/>
    <col customWidth="1" min="63" max="63" width="22.86"/>
    <col customWidth="1" min="64" max="64" width="27.57"/>
    <col customWidth="1" min="65" max="65" width="20.43"/>
    <col customWidth="1" min="66" max="66" width="23.43"/>
    <col customWidth="1" min="67" max="67" width="17.14"/>
    <col customWidth="1" min="68" max="68" width="21.29"/>
    <col customWidth="1" min="69" max="69" width="14.14"/>
    <col customWidth="1" min="70" max="70" width="16.86"/>
    <col customWidth="1" min="71" max="71" width="10.57"/>
    <col customWidth="1" min="72" max="72" width="16.57"/>
    <col customWidth="1" min="73" max="73" width="19.57"/>
    <col customWidth="1" min="74" max="78" width="22.57"/>
    <col customWidth="1" min="79" max="79" width="30.57"/>
    <col customWidth="1" min="80" max="80" width="30.86"/>
    <col customWidth="1" min="81" max="81" width="32.43"/>
    <col customWidth="1" min="82" max="82" width="31.29"/>
    <col customWidth="1" min="83" max="83" width="11.43"/>
    <col customWidth="1" min="84" max="84" width="12.57"/>
    <col customWidth="1" min="85" max="85" width="16.86"/>
    <col customWidth="1" min="86" max="86" width="21.29"/>
    <col customWidth="1" min="87" max="99" width="21.0"/>
    <col customWidth="1" min="100" max="100" width="15.71"/>
    <col customWidth="1" min="101" max="101" width="27.43"/>
    <col customWidth="1" min="102" max="105" width="15.29"/>
    <col customWidth="1" min="106" max="106" width="15.14"/>
    <col customWidth="1" min="107" max="107" width="15.29"/>
    <col customWidth="1" min="108" max="109" width="14.57"/>
    <col customWidth="1" min="110" max="110" width="26.14"/>
    <col customWidth="1" min="111" max="111" width="20.57"/>
    <col customWidth="1" min="112" max="112" width="12.57"/>
    <col customWidth="1" min="113" max="116" width="17.14"/>
    <col customWidth="1" min="117" max="117" width="14.14"/>
    <col customWidth="1" min="118" max="118" width="14.86"/>
    <col customWidth="1" min="119" max="119" width="8.86"/>
    <col customWidth="1" min="120" max="120" width="11.57"/>
    <col customWidth="1" min="121" max="121" width="12.14"/>
    <col customWidth="1" min="122" max="122" width="13.57"/>
    <col customWidth="1" min="123" max="123" width="12.71"/>
    <col customWidth="1" min="124" max="124" width="12.86"/>
    <col customWidth="1" min="125" max="126" width="14.71"/>
    <col customWidth="1" min="127" max="128" width="19.29"/>
    <col customWidth="1" min="129" max="129" width="17.43"/>
    <col customWidth="1" min="130" max="130" width="19.43"/>
    <col customWidth="1" min="131" max="131" width="10.43"/>
    <col customWidth="1" min="132" max="132" width="11.86"/>
    <col customWidth="1" min="133" max="133" width="18.14"/>
    <col customWidth="1" min="134" max="136" width="19.43"/>
    <col customWidth="1" min="137" max="172" width="8.71"/>
    <col customWidth="1" min="173" max="173" width="24.57"/>
    <col customWidth="1" min="174" max="174" width="22.71"/>
  </cols>
  <sheetData>
    <row r="1">
      <c r="A1" s="80" t="s">
        <v>130</v>
      </c>
      <c r="B1" s="80" t="s">
        <v>131</v>
      </c>
      <c r="C1" s="80" t="s">
        <v>132</v>
      </c>
      <c r="D1" s="80" t="s">
        <v>133</v>
      </c>
      <c r="E1" s="80" t="s">
        <v>134</v>
      </c>
      <c r="F1" s="80" t="s">
        <v>135</v>
      </c>
      <c r="G1" s="80" t="s">
        <v>136</v>
      </c>
      <c r="H1" s="80" t="s">
        <v>137</v>
      </c>
      <c r="I1" s="80" t="s">
        <v>138</v>
      </c>
      <c r="J1" s="80" t="s">
        <v>139</v>
      </c>
      <c r="K1" s="80" t="s">
        <v>140</v>
      </c>
      <c r="L1" s="80" t="s">
        <v>141</v>
      </c>
      <c r="M1" s="80" t="s">
        <v>142</v>
      </c>
      <c r="N1" s="80" t="s">
        <v>143</v>
      </c>
      <c r="O1" s="80" t="s">
        <v>144</v>
      </c>
      <c r="P1" s="80" t="s">
        <v>145</v>
      </c>
      <c r="Q1" s="80" t="s">
        <v>146</v>
      </c>
      <c r="R1" s="80" t="s">
        <v>147</v>
      </c>
      <c r="S1" s="80" t="s">
        <v>148</v>
      </c>
      <c r="T1" s="80" t="s">
        <v>149</v>
      </c>
      <c r="U1" s="80" t="s">
        <v>150</v>
      </c>
      <c r="V1" s="80" t="s">
        <v>151</v>
      </c>
      <c r="W1" s="80" t="s">
        <v>152</v>
      </c>
      <c r="X1" s="80" t="s">
        <v>153</v>
      </c>
      <c r="Y1" s="80" t="s">
        <v>154</v>
      </c>
      <c r="Z1" s="80" t="s">
        <v>155</v>
      </c>
      <c r="AA1" s="80" t="s">
        <v>156</v>
      </c>
      <c r="AB1" s="80" t="s">
        <v>157</v>
      </c>
      <c r="AC1" s="80" t="s">
        <v>158</v>
      </c>
      <c r="AD1" s="80" t="s">
        <v>159</v>
      </c>
      <c r="AE1" s="80" t="s">
        <v>160</v>
      </c>
      <c r="AF1" s="80" t="s">
        <v>161</v>
      </c>
      <c r="AG1" s="80" t="s">
        <v>162</v>
      </c>
      <c r="AH1" s="80" t="s">
        <v>163</v>
      </c>
      <c r="AI1" s="80" t="s">
        <v>164</v>
      </c>
      <c r="AJ1" s="80" t="s">
        <v>165</v>
      </c>
      <c r="AK1" s="80" t="s">
        <v>166</v>
      </c>
      <c r="AL1" s="80" t="s">
        <v>167</v>
      </c>
      <c r="AM1" s="80" t="s">
        <v>168</v>
      </c>
      <c r="AN1" s="80" t="s">
        <v>169</v>
      </c>
      <c r="AO1" s="80" t="s">
        <v>170</v>
      </c>
      <c r="AP1" s="80" t="s">
        <v>171</v>
      </c>
      <c r="AQ1" s="80" t="s">
        <v>172</v>
      </c>
      <c r="AR1" s="80" t="s">
        <v>173</v>
      </c>
      <c r="AS1" s="80" t="s">
        <v>174</v>
      </c>
      <c r="AT1" s="80" t="s">
        <v>175</v>
      </c>
      <c r="AU1" s="80" t="s">
        <v>176</v>
      </c>
      <c r="AV1" s="80" t="s">
        <v>177</v>
      </c>
      <c r="AW1" s="80" t="s">
        <v>178</v>
      </c>
      <c r="AX1" s="80" t="s">
        <v>179</v>
      </c>
      <c r="AY1" s="80" t="s">
        <v>180</v>
      </c>
      <c r="AZ1" s="80" t="s">
        <v>181</v>
      </c>
      <c r="BA1" s="80" t="s">
        <v>182</v>
      </c>
      <c r="BB1" s="80" t="s">
        <v>183</v>
      </c>
      <c r="BC1" s="80" t="s">
        <v>184</v>
      </c>
      <c r="BD1" s="80" t="s">
        <v>185</v>
      </c>
      <c r="BE1" s="80" t="s">
        <v>186</v>
      </c>
      <c r="BF1" s="80" t="s">
        <v>187</v>
      </c>
      <c r="BG1" s="80" t="s">
        <v>188</v>
      </c>
      <c r="BH1" s="80" t="s">
        <v>189</v>
      </c>
      <c r="BI1" s="80" t="s">
        <v>190</v>
      </c>
      <c r="BJ1" s="80" t="s">
        <v>191</v>
      </c>
      <c r="BK1" s="80" t="s">
        <v>192</v>
      </c>
      <c r="BL1" s="80" t="s">
        <v>193</v>
      </c>
      <c r="BM1" s="80" t="s">
        <v>194</v>
      </c>
      <c r="BN1" s="80" t="s">
        <v>195</v>
      </c>
      <c r="BO1" s="80" t="s">
        <v>196</v>
      </c>
      <c r="BP1" s="80" t="s">
        <v>197</v>
      </c>
      <c r="BQ1" s="80" t="s">
        <v>198</v>
      </c>
      <c r="BR1" s="80" t="s">
        <v>199</v>
      </c>
      <c r="BS1" s="80" t="s">
        <v>200</v>
      </c>
      <c r="BT1" s="80" t="s">
        <v>201</v>
      </c>
      <c r="BU1" s="80" t="s">
        <v>202</v>
      </c>
      <c r="BV1" s="80" t="s">
        <v>203</v>
      </c>
      <c r="BW1" s="81" t="s">
        <v>204</v>
      </c>
      <c r="BX1" s="81" t="s">
        <v>205</v>
      </c>
      <c r="BY1" s="81" t="s">
        <v>206</v>
      </c>
      <c r="BZ1" s="81" t="s">
        <v>207</v>
      </c>
      <c r="CA1" s="81" t="s">
        <v>208</v>
      </c>
      <c r="CB1" s="81" t="s">
        <v>209</v>
      </c>
      <c r="CC1" s="81" t="s">
        <v>210</v>
      </c>
      <c r="CD1" s="81" t="s">
        <v>211</v>
      </c>
      <c r="CE1" s="81" t="s">
        <v>212</v>
      </c>
      <c r="CF1" s="81" t="s">
        <v>213</v>
      </c>
      <c r="CG1" s="81" t="s">
        <v>214</v>
      </c>
      <c r="CH1" s="81" t="s">
        <v>215</v>
      </c>
      <c r="CI1" s="80" t="s">
        <v>216</v>
      </c>
      <c r="CJ1" s="80" t="s">
        <v>217</v>
      </c>
      <c r="CK1" s="80" t="s">
        <v>218</v>
      </c>
      <c r="CL1" s="80" t="s">
        <v>219</v>
      </c>
      <c r="CM1" s="80" t="s">
        <v>220</v>
      </c>
      <c r="CN1" s="81" t="s">
        <v>221</v>
      </c>
      <c r="CO1" s="81" t="s">
        <v>222</v>
      </c>
      <c r="CP1" s="81" t="s">
        <v>223</v>
      </c>
      <c r="CQ1" s="81" t="s">
        <v>224</v>
      </c>
      <c r="CR1" s="81" t="s">
        <v>225</v>
      </c>
      <c r="CS1" s="81" t="s">
        <v>226</v>
      </c>
      <c r="CT1" s="81" t="s">
        <v>227</v>
      </c>
      <c r="CU1" s="81" t="s">
        <v>228</v>
      </c>
      <c r="CV1" s="81" t="s">
        <v>229</v>
      </c>
      <c r="CW1" s="81" t="s">
        <v>230</v>
      </c>
      <c r="CX1" s="81" t="s">
        <v>231</v>
      </c>
      <c r="CY1" s="81" t="s">
        <v>232</v>
      </c>
      <c r="CZ1" s="80" t="s">
        <v>233</v>
      </c>
      <c r="DA1" s="80" t="s">
        <v>234</v>
      </c>
      <c r="DB1" s="80" t="s">
        <v>235</v>
      </c>
      <c r="DC1" s="80" t="s">
        <v>236</v>
      </c>
      <c r="DD1" s="80" t="s">
        <v>237</v>
      </c>
      <c r="DE1" s="80" t="s">
        <v>238</v>
      </c>
      <c r="DF1" s="80" t="s">
        <v>239</v>
      </c>
      <c r="DG1" s="80" t="s">
        <v>240</v>
      </c>
      <c r="DH1" s="80" t="s">
        <v>241</v>
      </c>
      <c r="DI1" s="81" t="s">
        <v>242</v>
      </c>
      <c r="DJ1" s="81" t="s">
        <v>243</v>
      </c>
      <c r="DK1" s="81" t="s">
        <v>244</v>
      </c>
      <c r="DL1" s="81" t="s">
        <v>245</v>
      </c>
      <c r="DM1" s="81" t="s">
        <v>246</v>
      </c>
      <c r="DN1" s="81" t="s">
        <v>247</v>
      </c>
      <c r="DO1" s="81" t="s">
        <v>248</v>
      </c>
      <c r="DP1" s="81" t="s">
        <v>249</v>
      </c>
      <c r="DQ1" s="80" t="s">
        <v>250</v>
      </c>
      <c r="DR1" s="80" t="s">
        <v>6</v>
      </c>
      <c r="DS1" s="80" t="s">
        <v>251</v>
      </c>
      <c r="DT1" s="80" t="s">
        <v>252</v>
      </c>
      <c r="DU1" s="80" t="s">
        <v>253</v>
      </c>
      <c r="DV1" s="80" t="s">
        <v>254</v>
      </c>
      <c r="DW1" s="80" t="s">
        <v>255</v>
      </c>
      <c r="DX1" s="80" t="s">
        <v>256</v>
      </c>
      <c r="DY1" s="80" t="s">
        <v>257</v>
      </c>
      <c r="DZ1" s="80" t="s">
        <v>258</v>
      </c>
      <c r="EA1" s="80" t="s">
        <v>259</v>
      </c>
      <c r="EB1" s="80" t="s">
        <v>260</v>
      </c>
      <c r="EC1" s="80" t="s">
        <v>261</v>
      </c>
      <c r="ED1" s="80" t="s">
        <v>262</v>
      </c>
      <c r="EE1" s="80" t="s">
        <v>263</v>
      </c>
      <c r="EF1" s="80" t="s">
        <v>264</v>
      </c>
      <c r="EG1" s="82" t="s">
        <v>265</v>
      </c>
      <c r="EH1" s="82" t="s">
        <v>266</v>
      </c>
      <c r="EI1" s="82" t="s">
        <v>267</v>
      </c>
      <c r="EJ1" s="82" t="s">
        <v>268</v>
      </c>
      <c r="EK1" s="82" t="s">
        <v>269</v>
      </c>
      <c r="EL1" s="82" t="s">
        <v>270</v>
      </c>
      <c r="EM1" s="82" t="s">
        <v>271</v>
      </c>
      <c r="EN1" s="82" t="s">
        <v>272</v>
      </c>
      <c r="EO1" s="82" t="s">
        <v>273</v>
      </c>
      <c r="EP1" s="82" t="s">
        <v>274</v>
      </c>
      <c r="EQ1" s="82" t="s">
        <v>275</v>
      </c>
      <c r="ER1" s="82" t="s">
        <v>276</v>
      </c>
      <c r="ES1" s="82" t="s">
        <v>277</v>
      </c>
      <c r="ET1" s="82" t="s">
        <v>278</v>
      </c>
      <c r="EU1" s="82" t="s">
        <v>279</v>
      </c>
      <c r="EV1" s="82" t="s">
        <v>280</v>
      </c>
      <c r="EW1" s="82" t="s">
        <v>281</v>
      </c>
      <c r="EX1" s="82" t="s">
        <v>282</v>
      </c>
      <c r="EY1" s="82" t="s">
        <v>283</v>
      </c>
      <c r="EZ1" s="82" t="s">
        <v>284</v>
      </c>
      <c r="FA1" s="82" t="s">
        <v>285</v>
      </c>
      <c r="FB1" s="82" t="s">
        <v>286</v>
      </c>
      <c r="FC1" s="82" t="s">
        <v>287</v>
      </c>
      <c r="FD1" s="82" t="s">
        <v>288</v>
      </c>
      <c r="FE1" s="82" t="s">
        <v>289</v>
      </c>
      <c r="FF1" s="82" t="s">
        <v>290</v>
      </c>
      <c r="FG1" s="82" t="s">
        <v>291</v>
      </c>
      <c r="FH1" s="82" t="s">
        <v>292</v>
      </c>
      <c r="FI1" s="82" t="s">
        <v>293</v>
      </c>
      <c r="FJ1" s="82" t="s">
        <v>294</v>
      </c>
      <c r="FK1" s="82" t="s">
        <v>295</v>
      </c>
      <c r="FL1" s="82" t="s">
        <v>296</v>
      </c>
      <c r="FM1" s="82" t="s">
        <v>297</v>
      </c>
      <c r="FN1" s="82" t="s">
        <v>298</v>
      </c>
      <c r="FO1" s="82" t="s">
        <v>299</v>
      </c>
      <c r="FP1" s="82" t="s">
        <v>300</v>
      </c>
      <c r="FQ1" s="82" t="s">
        <v>301</v>
      </c>
      <c r="FR1" s="80" t="s">
        <v>302</v>
      </c>
    </row>
    <row r="2">
      <c r="A2" s="83" t="s">
        <v>303</v>
      </c>
      <c r="B2" s="84">
        <f>'ShipWatch Departure Berth'!C57</f>
        <v>7</v>
      </c>
      <c r="C2" s="84">
        <f>'ShipWatch Departure Berth'!F57</f>
        <v>3</v>
      </c>
      <c r="D2" s="84">
        <f>'ShipWatch Departure Berth'!K57</f>
        <v>5</v>
      </c>
      <c r="E2" s="84">
        <f>'ShipWatch Departure Berth'!N57</f>
        <v>3</v>
      </c>
      <c r="F2" s="84">
        <f>'ShipWatch Departure Berth'!C71</f>
        <v>1</v>
      </c>
      <c r="G2" s="84">
        <f>'ShipWatch Departure Berth'!F71</f>
        <v>2</v>
      </c>
      <c r="H2" s="84">
        <f>'ShipWatch Departure Berth'!K71</f>
        <v>4</v>
      </c>
      <c r="I2" s="84">
        <f>'ShipWatch Departure Berth'!N71</f>
        <v>4</v>
      </c>
      <c r="J2" s="84">
        <f>'ShipWatch Departure Berth'!C55</f>
        <v>5</v>
      </c>
      <c r="K2" s="84">
        <f>'ShipWatch Departure Berth'!F55</f>
        <v>4</v>
      </c>
      <c r="L2" s="84">
        <f>'ShipWatch Departure Berth'!K55</f>
        <v>2</v>
      </c>
      <c r="M2" s="84">
        <f>'ShipWatch Departure Berth'!N55</f>
        <v>4</v>
      </c>
      <c r="N2" s="84">
        <f>'ShipWatch Departure Berth'!C69</f>
        <v>2</v>
      </c>
      <c r="O2" s="84">
        <f>'ShipWatch Departure Berth'!F69</f>
        <v>8</v>
      </c>
      <c r="P2" s="84">
        <f>'ShipWatch Departure Berth'!K69</f>
        <v>3</v>
      </c>
      <c r="Q2" s="84">
        <f>'ShipWatch Departure Berth'!N69</f>
        <v>5</v>
      </c>
      <c r="R2" s="83" t="str">
        <f>IF('ShipWatch Departure Berth'!C86="","",'ShipWatch Departure Berth'!C86)</f>
        <v>Testing@12345</v>
      </c>
      <c r="S2" s="84">
        <f>'ShipWatch Departure Berth'!F63</f>
        <v>26</v>
      </c>
      <c r="T2" s="84">
        <f>'ShipWatch Departure Berth'!F59</f>
        <v>2</v>
      </c>
      <c r="U2" s="84">
        <f>'ShipWatch Departure Berth'!F73</f>
        <v>1</v>
      </c>
      <c r="V2" s="84">
        <f>'ShipWatch Departure Berth'!F77</f>
        <v>25</v>
      </c>
      <c r="W2" s="84">
        <f>'ShipWatch Departure Berth'!F53</f>
        <v>9</v>
      </c>
      <c r="X2" s="84">
        <f>'ShipWatch Departure Berth'!F67</f>
        <v>4</v>
      </c>
      <c r="Y2" s="84">
        <f>'ShipWatch Departure Berth'!F47</f>
        <v>8</v>
      </c>
      <c r="Z2" s="84">
        <f>'ShipWatch Departure Berth'!F49</f>
        <v>8</v>
      </c>
      <c r="AA2" s="84">
        <f>'ShipWatch Departure Berth'!F61</f>
        <v>2</v>
      </c>
      <c r="AB2" s="84">
        <f>'ShipWatch Departure Berth'!F75</f>
        <v>4</v>
      </c>
      <c r="AC2" s="84">
        <f>'ShipWatch Departure Berth'!F43</f>
        <v>9.45512</v>
      </c>
      <c r="AD2" s="84">
        <f>'ShipWatch Departure Berth'!F51</f>
        <v>6</v>
      </c>
      <c r="AE2" s="84">
        <f>'ShipWatch Departure Berth'!F65</f>
        <v>6</v>
      </c>
      <c r="AF2" s="84">
        <f>'ShipWatch Departure Berth'!F79</f>
        <v>59</v>
      </c>
      <c r="AG2" s="84">
        <f>'ShipWatch Departure Berth'!C63</f>
        <v>34</v>
      </c>
      <c r="AH2" s="84">
        <f>'ShipWatch Departure Berth'!C59</f>
        <v>5</v>
      </c>
      <c r="AI2" s="84">
        <f>'ShipWatch Departure Berth'!C73</f>
        <v>3</v>
      </c>
      <c r="AJ2" s="84">
        <f>'ShipWatch Departure Berth'!C77</f>
        <v>20</v>
      </c>
      <c r="AK2" s="84">
        <f>'ShipWatch Departure Berth'!C53</f>
        <v>5</v>
      </c>
      <c r="AL2" s="84">
        <f>'ShipWatch Departure Berth'!C67</f>
        <v>2</v>
      </c>
      <c r="AM2" s="84">
        <f>'ShipWatch Departure Berth'!C47</f>
        <v>5</v>
      </c>
      <c r="AN2" s="84">
        <f>'ShipWatch Departure Berth'!C49</f>
        <v>5</v>
      </c>
      <c r="AO2" s="84">
        <f>'ShipWatch Departure Berth'!C61</f>
        <v>4</v>
      </c>
      <c r="AP2" s="84">
        <f>'ShipWatch Departure Berth'!C75</f>
        <v>7</v>
      </c>
      <c r="AQ2" s="84">
        <f>'ShipWatch Departure Berth'!C43</f>
        <v>9.545</v>
      </c>
      <c r="AR2" s="84">
        <f>'ShipWatch Departure Berth'!C51</f>
        <v>8</v>
      </c>
      <c r="AS2" s="84">
        <f>'ShipWatch Departure Berth'!C65</f>
        <v>5</v>
      </c>
      <c r="AT2" s="84">
        <f>'ShipWatch Departure Berth'!C79</f>
        <v>59</v>
      </c>
      <c r="AU2" s="84">
        <f>'ShipWatch Departure Berth'!K63</f>
        <v>17</v>
      </c>
      <c r="AV2" s="84">
        <f>'ShipWatch Departure Berth'!K59</f>
        <v>4</v>
      </c>
      <c r="AW2" s="84">
        <f>'ShipWatch Departure Berth'!K73</f>
        <v>2</v>
      </c>
      <c r="AX2" s="84">
        <f>'ShipWatch Departure Berth'!K77</f>
        <v>20</v>
      </c>
      <c r="AY2" s="84">
        <f>'ShipWatch Departure Berth'!K53</f>
        <v>1</v>
      </c>
      <c r="AZ2" s="84">
        <f>'ShipWatch Departure Berth'!K67</f>
        <v>5</v>
      </c>
      <c r="BA2" s="84">
        <f>'ShipWatch Departure Berth'!K47</f>
        <v>1</v>
      </c>
      <c r="BB2" s="84">
        <f>'ShipWatch Departure Berth'!K49</f>
        <v>1</v>
      </c>
      <c r="BC2" s="84">
        <f>'ShipWatch Departure Berth'!K61</f>
        <v>1</v>
      </c>
      <c r="BD2" s="84">
        <f>'ShipWatch Departure Berth'!K75</f>
        <v>1</v>
      </c>
      <c r="BE2" s="84">
        <f>'ShipWatch Departure Berth'!K43</f>
        <v>6.54545</v>
      </c>
      <c r="BF2" s="84">
        <f>'ShipWatch Departure Berth'!K51</f>
        <v>4</v>
      </c>
      <c r="BG2" s="84">
        <f>'ShipWatch Departure Berth'!K65</f>
        <v>5</v>
      </c>
      <c r="BH2" s="84">
        <f>'ShipWatch Departure Berth'!K79</f>
        <v>38</v>
      </c>
      <c r="BI2" s="84">
        <f>'ShipWatch Departure Berth'!N63</f>
        <v>14</v>
      </c>
      <c r="BJ2" s="84">
        <f>'ShipWatch Departure Berth'!N59</f>
        <v>2</v>
      </c>
      <c r="BK2" s="84">
        <f>'ShipWatch Departure Berth'!N73</f>
        <v>3</v>
      </c>
      <c r="BL2" s="84">
        <f>'ShipWatch Departure Berth'!N77</f>
        <v>22.3</v>
      </c>
      <c r="BM2" s="84">
        <f>'ShipWatch Departure Berth'!N53</f>
        <v>0</v>
      </c>
      <c r="BN2" s="84">
        <f>'ShipWatch Departure Berth'!N67</f>
        <v>3</v>
      </c>
      <c r="BO2" s="84">
        <f>'ShipWatch Departure Berth'!N47</f>
        <v>3</v>
      </c>
      <c r="BP2" s="84">
        <f>'ShipWatch Departure Berth'!N49</f>
        <v>3</v>
      </c>
      <c r="BQ2" s="84">
        <f>'ShipWatch Departure Berth'!N61</f>
        <v>4</v>
      </c>
      <c r="BR2" s="84">
        <f>'ShipWatch Departure Berth'!N75</f>
        <v>7</v>
      </c>
      <c r="BS2" s="84">
        <f>'ShipWatch Departure Berth'!N43</f>
        <v>296.22</v>
      </c>
      <c r="BT2" s="84">
        <f>'ShipWatch Departure Berth'!N51</f>
        <v>1</v>
      </c>
      <c r="BU2" s="84">
        <f>'ShipWatch Departure Berth'!N65</f>
        <v>0.3</v>
      </c>
      <c r="BV2" s="84">
        <f>'ShipWatch Departure Berth'!N79</f>
        <v>39.3</v>
      </c>
      <c r="BW2" s="84">
        <f>'ShipWatch Departure Berth'!C39</f>
        <v>2.5445</v>
      </c>
      <c r="BX2" s="84">
        <f>'ShipWatch Departure Berth'!F39</f>
        <v>21.4562</v>
      </c>
      <c r="BY2" s="84">
        <f>'ShipWatch Departure Berth'!K39</f>
        <v>1.544</v>
      </c>
      <c r="BZ2" s="84">
        <f>'ShipWatch Departure Berth'!N39</f>
        <v>3.4564</v>
      </c>
      <c r="CA2" s="84">
        <f>'ShipWatch Departure Berth'!P39</f>
        <v>2.456</v>
      </c>
      <c r="CB2" s="84">
        <f>'ShipWatch Departure Berth'!R39</f>
        <v>7.453543</v>
      </c>
      <c r="CC2" s="84">
        <f>'ShipWatch Departure Berth'!C41</f>
        <v>2.8475</v>
      </c>
      <c r="CD2" s="84">
        <f>'ShipWatch Departure Berth'!F41</f>
        <v>6.452</v>
      </c>
      <c r="CE2" s="84">
        <f>'ShipWatch Departure Berth'!K41</f>
        <v>1</v>
      </c>
      <c r="CF2" s="84">
        <f>'ShipWatch Departure Berth'!N41</f>
        <v>5.642</v>
      </c>
      <c r="CG2" s="84">
        <f>'ShipWatch Departure Berth'!P41</f>
        <v>2.4564</v>
      </c>
      <c r="CH2" s="84">
        <f>'ShipWatch Departure Berth'!R41</f>
        <v>1.54685</v>
      </c>
      <c r="CI2" s="84">
        <f>IF('ShipWatch Departure Berth'!J19="","",'ShipWatch Departure Berth'!J19)</f>
        <v>4.9</v>
      </c>
      <c r="CJ2" s="84">
        <f>IF('ShipWatch Departure Berth'!J18="","",'ShipWatch Departure Berth'!J18)</f>
        <v>3.5</v>
      </c>
      <c r="CK2" s="83" t="str">
        <f>IF('ShipWatch Departure Berth'!C26="","",'ShipWatch Departure Berth'!C26)</f>
        <v>Testing@123</v>
      </c>
      <c r="CL2" s="85">
        <f>IF('ShipWatch Departure Berth'!C18="","",'ShipWatch Departure Berth'!C18)</f>
        <v>17.2</v>
      </c>
      <c r="CM2" s="85">
        <f>IF('ShipWatch Departure Berth'!C19="","",'ShipWatch Departure Berth'!C19)</f>
        <v>0</v>
      </c>
      <c r="CN2" s="85">
        <f>IF('ShipWatch Departure Berth'!C34="","",'ShipWatch Departure Berth'!C34)</f>
        <v>6.4584</v>
      </c>
      <c r="CO2" s="85">
        <f>IF('ShipWatch Departure Berth'!C32="","",'ShipWatch Departure Berth'!C32)</f>
        <v>7.7777</v>
      </c>
      <c r="CP2" s="85">
        <f>IF('ShipWatch Departure Berth'!F32="","",'ShipWatch Departure Berth'!F32)</f>
        <v>17.2</v>
      </c>
      <c r="CQ2" s="86">
        <f>IF('ShipWatch Departure Berth'!F34="","",'ShipWatch Departure Berth'!F34)</f>
        <v>126</v>
      </c>
      <c r="CR2" s="85">
        <f>IF('ShipWatch Departure Berth'!G32="","",'ShipWatch Departure Berth'!G32)</f>
        <v>17.2</v>
      </c>
      <c r="CS2" s="86">
        <f>IF('ShipWatch Departure Berth'!G34="","",'ShipWatch Departure Berth'!G34)</f>
        <v>126</v>
      </c>
      <c r="CT2" s="85">
        <f>IF('ShipWatch Departure Berth'!H32="","",'ShipWatch Departure Berth'!H32)</f>
        <v>14.5264</v>
      </c>
      <c r="CU2" s="86">
        <f>IF('ShipWatch Departure Berth'!H34="","",'ShipWatch Departure Berth'!H34)</f>
        <v>154</v>
      </c>
      <c r="CV2" s="85">
        <f>IF('ShipWatch Departure Berth'!I32="","",'ShipWatch Departure Berth'!I32)</f>
        <v>11.2545</v>
      </c>
      <c r="CW2" s="86">
        <f>IF('ShipWatch Departure Berth'!I34="","",'ShipWatch Departure Berth'!I34)</f>
        <v>165</v>
      </c>
      <c r="CX2" s="85">
        <f>IF('ShipWatch Departure Berth'!K34="","",'ShipWatch Departure Berth'!K34)</f>
        <v>15.45874</v>
      </c>
      <c r="CY2" s="85">
        <f>IF('ShipWatch Departure Berth'!K32="","",'ShipWatch Departure Berth'!K32)</f>
        <v>12.54563</v>
      </c>
      <c r="CZ2" s="83" t="str">
        <f>IF('ShipWatch Departure Berth'!J17="","",'ShipWatch Departure Berth'!J17)</f>
        <v>Ballast</v>
      </c>
      <c r="DA2" s="86">
        <f>IF('ShipWatch Departure Berth'!D11="","",'ShipWatch Departure Berth'!D11)</f>
        <v>8</v>
      </c>
      <c r="DB2" s="86">
        <f>IF('ShipWatch Departure Berth'!F11="","",'ShipWatch Departure Berth'!F11)</f>
        <v>36</v>
      </c>
      <c r="DC2" s="86">
        <f>IF('ShipWatch Departure Berth'!K11="","",'ShipWatch Departure Berth'!K11)</f>
        <v>11.6</v>
      </c>
      <c r="DD2" s="85" t="str">
        <f>IF('ShipWatch Departure Berth'!M11="","",'ShipWatch Departure Berth'!M11)</f>
        <v>S</v>
      </c>
      <c r="DE2" s="87">
        <f>IF('ShipWatch Departure Berth'!O11="","",'ShipWatch Departure Berth'!O11)</f>
        <v>48</v>
      </c>
      <c r="DF2" s="86">
        <f>IF('ShipWatch Departure Berth'!Q11="","",'ShipWatch Departure Berth'!Q11)</f>
        <v>59</v>
      </c>
      <c r="DG2" s="86">
        <f>IF('ShipWatch Departure Berth'!S11="","",'ShipWatch Departure Berth'!S11)</f>
        <v>22.1</v>
      </c>
      <c r="DH2" s="85" t="str">
        <f>IF('ShipWatch Departure Berth'!U11="","",'ShipWatch Departure Berth'!U11)</f>
        <v>E</v>
      </c>
      <c r="DI2" s="88">
        <f>IF('ShipWatch Departure Berth'!J20="","",'ShipWatch Departure Berth'!J20)</f>
        <v>62897104</v>
      </c>
      <c r="DJ2" s="88">
        <f>IF('ShipWatch Departure Berth'!C20="","",'ShipWatch Departure Berth'!C20)</f>
        <v>44257.38</v>
      </c>
      <c r="DK2" s="84">
        <f>IF('ShipWatch Departure Berth'!C83="","",'ShipWatch Departure Berth'!C83)</f>
        <v>2.5464</v>
      </c>
      <c r="DL2" s="84">
        <f>IF('ShipWatch Departure Berth'!H83="","",'ShipWatch Departure Berth'!H83)</f>
        <v>7.45454</v>
      </c>
      <c r="DM2" s="84">
        <f>IF('ShipWatch Departure Berth'!C84="","",'ShipWatch Departure Berth'!C84)</f>
        <v>34.5754</v>
      </c>
      <c r="DN2" s="85">
        <f>IF('ShipWatch Departure Berth'!C23="","",'ShipWatch Departure Berth'!C23)</f>
        <v>1.4526</v>
      </c>
      <c r="DO2" s="85">
        <f>IF('ShipWatch Departure Berth'!D24="","",'ShipWatch Departure Berth'!D24)</f>
        <v>254.3562</v>
      </c>
      <c r="DP2" s="85">
        <f>IF('ShipWatch Departure Berth'!J24="","",'ShipWatch Departure Berth'!J24)</f>
        <v>2442.17</v>
      </c>
      <c r="DQ2" s="89" t="str">
        <f>IF('ShipWatch Departure Berth'!O7="","",'ShipWatch Departure Berth'!O7)</f>
        <v>ALBERTO DY</v>
      </c>
      <c r="DR2" s="89" t="str">
        <f>IF('ShipWatch Departure Berth'!D7="","",'ShipWatch Departure Berth'!D7)</f>
        <v>CAPT. PAUL JAMES LLAMAS</v>
      </c>
      <c r="DS2" s="90" t="str">
        <f>IF('ShipWatch Departure Berth'!V8="","",'ShipWatch Departure Berth'!V8)</f>
        <v>+01:00</v>
      </c>
      <c r="DT2" s="89" t="str">
        <f>IF('ShipWatch Departure Berth'!C5="","",'ShipWatch Departure Berth'!C5)</f>
        <v>9489118</v>
      </c>
      <c r="DU2" s="89" t="str">
        <f>IF('ShipWatch Departure Berth'!C6="","",'ShipWatch Departure Berth'!C6)</f>
        <v>Navig8 Constellation</v>
      </c>
      <c r="DV2" s="83" t="str">
        <f>"In Port"</f>
        <v>In Port</v>
      </c>
      <c r="DW2" s="89" t="str">
        <f>IF('ShipWatch Departure Berth'!C13="","",'ShipWatch Departure Berth'!C13)</f>
        <v>LAKONIKOS GULF, GREECE</v>
      </c>
      <c r="DX2" s="83" t="str">
        <f>IF('ShipWatch Departure Berth'!V14="","",'ShipWatch Departure Berth'!V14)</f>
        <v/>
      </c>
      <c r="DY2" s="85">
        <f>IF('ShipWatch Departure Berth'!C17="","",'ShipWatch Departure Berth'!C17)</f>
        <v>0</v>
      </c>
      <c r="DZ2" s="85">
        <f>IF('ShipWatch Departure Berth'!C16="","",'ShipWatch Departure Berth'!C16)</f>
        <v>17.2</v>
      </c>
      <c r="EA2" s="91">
        <f>IF('ShipWatch Departure Berth'!D8="","",'ShipWatch Departure Berth'!D8)</f>
        <v>45492</v>
      </c>
      <c r="EB2" s="92">
        <f>IF('ShipWatch Departure Berth'!O8="","",'ShipWatch Departure Berth'!O8)</f>
        <v>0.4756944444</v>
      </c>
      <c r="EC2" s="93">
        <f>IF('ShipWatch Departure Berth'!D9="","",'ShipWatch Departure Berth'!D9)</f>
        <v>45492</v>
      </c>
      <c r="ED2" s="93" t="str">
        <f>IF('ShipWatch Departure Berth'!D15="","",'ShipWatch Departure Berth'!D15)</f>
        <v/>
      </c>
      <c r="EE2" s="91" t="str">
        <f>IF('ShipWatch Departure Berth'!D14="","",'ShipWatch Departure Berth'!D14)</f>
        <v/>
      </c>
      <c r="EF2" s="92" t="str">
        <f>IF('ShipWatch Departure Berth'!O14="","",'ShipWatch Departure Berth'!O14)</f>
        <v/>
      </c>
      <c r="EG2" s="84">
        <f>'ShipWatch Departure Berth'!P63</f>
        <v>33</v>
      </c>
      <c r="EH2" s="84">
        <f>'ShipWatch Departure Berth'!P59</f>
        <v>7</v>
      </c>
      <c r="EI2" s="84">
        <f>'ShipWatch Departure Berth'!P73</f>
        <v>0.255</v>
      </c>
      <c r="EJ2" s="84">
        <f>'ShipWatch Departure Berth'!P77</f>
        <v>17.709</v>
      </c>
      <c r="EK2" s="84">
        <f>'ShipWatch Departure Berth'!P53</f>
        <v>8</v>
      </c>
      <c r="EL2" s="84">
        <f>'ShipWatch Departure Berth'!P67</f>
        <v>4</v>
      </c>
      <c r="EM2" s="84">
        <f>'ShipWatch Departure Berth'!P47</f>
        <v>8</v>
      </c>
      <c r="EN2" s="84">
        <f>'ShipWatch Departure Berth'!P49</f>
        <v>8</v>
      </c>
      <c r="EO2" s="84">
        <f>'ShipWatch Departure Berth'!P61</f>
        <v>5</v>
      </c>
      <c r="EP2" s="84">
        <f>'ShipWatch Departure Berth'!P75</f>
        <v>4.454</v>
      </c>
      <c r="EQ2" s="84">
        <f>'ShipWatch Departure Berth'!P57</f>
        <v>4</v>
      </c>
      <c r="ER2" s="84">
        <f>'ShipWatch Departure Berth'!P71</f>
        <v>3</v>
      </c>
      <c r="ES2" s="84">
        <f>'ShipWatch Departure Berth'!P55</f>
        <v>7</v>
      </c>
      <c r="ET2" s="84">
        <f>'ShipWatch Departure Berth'!P69</f>
        <v>3</v>
      </c>
      <c r="EU2" s="84">
        <f>'ShipWatch Departure Berth'!P43</f>
        <v>3.454</v>
      </c>
      <c r="EV2" s="84">
        <f>'ShipWatch Departure Berth'!P51</f>
        <v>2</v>
      </c>
      <c r="EW2" s="84">
        <f>'ShipWatch Departure Berth'!P65</f>
        <v>3</v>
      </c>
      <c r="EX2" s="84">
        <f>'ShipWatch Departure Berth'!P79</f>
        <v>58.709</v>
      </c>
      <c r="EY2" s="84">
        <f>'ShipWatch Departure Berth'!R63</f>
        <v>27</v>
      </c>
      <c r="EZ2" s="84">
        <f>'ShipWatch Departure Berth'!R59</f>
        <v>5</v>
      </c>
      <c r="FA2" s="84">
        <f>'ShipWatch Departure Berth'!R71</f>
        <v>4.457</v>
      </c>
      <c r="FB2" s="84">
        <f>'ShipWatch Departure Berth'!R77</f>
        <v>74.1871</v>
      </c>
      <c r="FC2" s="84">
        <f>'ShipWatch Departure Berth'!R53</f>
        <v>3</v>
      </c>
      <c r="FD2" s="84">
        <f>'ShipWatch Departure Berth'!R67</f>
        <v>2.5445</v>
      </c>
      <c r="FE2" s="84">
        <f>'ShipWatch Departure Berth'!R47</f>
        <v>1</v>
      </c>
      <c r="FF2" s="84">
        <f>'ShipWatch Departure Berth'!R49</f>
        <v>1</v>
      </c>
      <c r="FG2" s="84">
        <f>'ShipWatch Departure Berth'!R61</f>
        <v>4</v>
      </c>
      <c r="FH2" s="84">
        <f>'ShipWatch Departure Berth'!R75</f>
        <v>3.4545</v>
      </c>
      <c r="FI2" s="84">
        <f>'ShipWatch Departure Berth'!R57</f>
        <v>3</v>
      </c>
      <c r="FJ2" s="84">
        <f>'ShipWatch Departure Berth'!R71</f>
        <v>4.457</v>
      </c>
      <c r="FK2" s="84">
        <f>'ShipWatch Departure Berth'!R55</f>
        <v>4</v>
      </c>
      <c r="FL2" s="84">
        <f>'ShipWatch Departure Berth'!R69</f>
        <v>6.544</v>
      </c>
      <c r="FM2" s="84">
        <f>'ShipWatch Departure Berth'!R43</f>
        <v>8.4535</v>
      </c>
      <c r="FN2" s="84">
        <f>'ShipWatch Departure Berth'!R51</f>
        <v>8</v>
      </c>
      <c r="FO2" s="84">
        <f>'ShipWatch Departure Berth'!R65</f>
        <v>56.645</v>
      </c>
      <c r="FP2" s="84">
        <f>'ShipWatch Departure Berth'!R79</f>
        <v>102.1871</v>
      </c>
      <c r="FQ2" s="84">
        <f>'ShipWatch Departure Berth'!C84</f>
        <v>34.5754</v>
      </c>
      <c r="FR2" s="85">
        <f>IF('ShipWatch Departure Berth'!C22="","",'ShipWatch Departure Berth'!C22)</f>
        <v>5.4521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0.75" footer="0.0" header="0.0" left="0.7" right="0.7" top="0.75"/>
  <pageSetup orientation="landscape"/>
  <headerFooter>
    <oddHeader>&amp;L000000 INTERNAL ONLY: Not for external distribution.#_x000D_</oddHeader>
  </headerFooter>
  <drawing r:id="rId1"/>
  <tableParts count="1">
    <tablePart r:id="rId3"/>
  </tableParts>
</worksheet>
</file>